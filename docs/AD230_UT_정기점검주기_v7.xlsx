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2280" yWindow="0" windowWidth="22110" windowHeight="14370" tabRatio="600" firstSheet="0" activeTab="1" autoFilterDateGrouping="1"/>
  </bookViews>
  <sheets>
    <sheet name="테스트 케이스" sheetId="1" state="visible" r:id="rId1"/>
    <sheet name="Dev 조치사항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0"/>
    </font>
    <font>
      <name val="맑은 고딕"/>
      <charset val="129"/>
      <family val="3"/>
      <b val="1"/>
      <color theme="1"/>
      <sz val="20"/>
      <scheme val="minor"/>
    </font>
    <font>
      <name val="맑은 고딕"/>
      <charset val="129"/>
      <family val="3"/>
      <color theme="1"/>
      <sz val="10"/>
    </font>
    <font>
      <name val="맑은 고딕"/>
      <charset val="129"/>
      <family val="3"/>
      <color theme="1"/>
      <sz val="11"/>
    </font>
    <font>
      <name val="맑은 고딕"/>
      <charset val="129"/>
      <family val="3"/>
      <b val="1"/>
      <color theme="1"/>
      <sz val="20"/>
    </font>
    <font>
      <name val="맑은 고딕"/>
      <charset val="129"/>
      <family val="3"/>
      <b val="1"/>
      <color theme="1"/>
      <sz val="11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rgb="FFFF0000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899990844447157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 applyAlignment="1">
      <alignment vertical="center"/>
    </xf>
  </cellStyleXfs>
  <cellXfs count="49">
    <xf numFmtId="0" fontId="0" fillId="0" borderId="0" applyAlignment="1" pivotButton="0" quotePrefix="0" xfId="0">
      <alignment vertical="center"/>
    </xf>
    <xf numFmtId="14" fontId="5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0" fontId="0" fillId="0" borderId="3" applyAlignment="1" pivotButton="0" quotePrefix="0" xfId="0">
      <alignment horizontal="center" vertical="center"/>
    </xf>
    <xf numFmtId="14" fontId="0" fillId="0" borderId="3" applyAlignment="1" pivotButton="0" quotePrefix="0" xfId="0">
      <alignment horizontal="center" vertical="center"/>
    </xf>
    <xf numFmtId="14" fontId="2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4" fontId="9" fillId="0" borderId="0" applyAlignment="1" pivotButton="0" quotePrefix="0" xfId="0">
      <alignment horizontal="center" vertical="center" wrapText="1"/>
    </xf>
    <xf numFmtId="14" fontId="9" fillId="0" borderId="1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 wrapText="1"/>
    </xf>
    <xf numFmtId="0" fontId="8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14" fontId="2" fillId="3" borderId="4" applyAlignment="1" pivotButton="0" quotePrefix="0" xfId="0">
      <alignment horizontal="center" vertical="center" wrapText="1"/>
    </xf>
    <xf numFmtId="0" fontId="2" fillId="5" borderId="4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14" fontId="2" fillId="5" borderId="1" applyAlignment="1" pivotButton="0" quotePrefix="0" xfId="0">
      <alignment horizontal="center" vertical="center" wrapText="1"/>
    </xf>
    <xf numFmtId="14" fontId="9" fillId="0" borderId="4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14" fontId="10" fillId="0" borderId="0" applyAlignment="1" pivotButton="0" quotePrefix="0" xfId="0">
      <alignment horizontal="center" vertical="center" wrapText="1"/>
    </xf>
    <xf numFmtId="14" fontId="5" fillId="0" borderId="1" applyAlignment="1" pivotButton="0" quotePrefix="0" xfId="0">
      <alignment horizontal="center" vertical="center"/>
    </xf>
    <xf numFmtId="0" fontId="0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6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14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center" vertical="center" wrapText="1"/>
    </xf>
    <xf numFmtId="14" fontId="9" fillId="0" borderId="0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K67"/>
  <sheetViews>
    <sheetView zoomScale="80" zoomScaleNormal="80" workbookViewId="0">
      <pane xSplit="4" ySplit="5" topLeftCell="E58" activePane="bottomRight" state="frozen"/>
      <selection pane="topRight" activeCell="D1" sqref="D1"/>
      <selection pane="bottomLeft" activeCell="A6" sqref="A6"/>
      <selection pane="bottomRight" activeCell="A2" sqref="A2:K2"/>
    </sheetView>
  </sheetViews>
  <sheetFormatPr baseColWidth="8" defaultColWidth="9" defaultRowHeight="16.5"/>
  <cols>
    <col width="15.375" bestFit="1" customWidth="1" style="38" min="1" max="1"/>
    <col width="15.375" customWidth="1" style="38" min="2" max="2"/>
    <col width="8.75" bestFit="1" customWidth="1" style="39" min="3" max="3"/>
    <col width="14.5" bestFit="1" customWidth="1" style="40" min="4" max="4"/>
    <col width="43.5" customWidth="1" style="40" min="5" max="5"/>
    <col width="61.875" customWidth="1" style="40" min="6" max="6"/>
    <col width="60.5" bestFit="1" customWidth="1" style="40" min="7" max="7"/>
    <col width="14" customWidth="1" style="41" min="8" max="8"/>
    <col width="18.25" customWidth="1" style="41" min="9" max="9"/>
    <col width="37.875" customWidth="1" style="42" min="10" max="10"/>
    <col width="21" customWidth="1" style="41" min="11" max="11"/>
    <col width="9" customWidth="1" style="40" min="12" max="12"/>
    <col width="9" customWidth="1" style="40" min="13" max="16384"/>
  </cols>
  <sheetData>
    <row r="2" ht="31.5" customHeight="1" s="33">
      <c r="A2" s="37">
        <f>"Dream 4.1 "&amp;CLEAN(A6)&amp;" 단위테스트"</f>
        <v/>
      </c>
    </row>
    <row r="4">
      <c r="A4" s="28" t="inlineStr">
        <is>
          <t>공통</t>
        </is>
      </c>
      <c r="B4" s="29" t="n"/>
      <c r="C4" s="44" t="n"/>
      <c r="D4" s="45" t="n"/>
      <c r="E4" s="44" t="n"/>
      <c r="F4" s="44" t="n"/>
      <c r="G4" s="44" t="n"/>
      <c r="H4" s="30" t="n"/>
      <c r="I4" s="45" t="n"/>
      <c r="J4" s="46" t="n"/>
      <c r="K4" s="31" t="inlineStr">
        <is>
          <t>H,I,J,K 행 수식 수정 금지</t>
        </is>
      </c>
    </row>
    <row r="5" ht="27" customHeight="1" s="33">
      <c r="A5" s="20" t="inlineStr">
        <is>
          <t>메뉴명</t>
        </is>
      </c>
      <c r="B5" s="21" t="inlineStr">
        <is>
          <t>탭 명</t>
        </is>
      </c>
      <c r="C5" s="20" t="inlineStr">
        <is>
          <t>기능</t>
        </is>
      </c>
      <c r="D5" s="20" t="inlineStr">
        <is>
          <t>테스트ID</t>
        </is>
      </c>
      <c r="E5" s="20" t="inlineStr">
        <is>
          <t>CASE</t>
        </is>
      </c>
      <c r="F5" s="20" t="inlineStr">
        <is>
          <t>STEP</t>
        </is>
      </c>
      <c r="G5" s="20" t="inlineStr">
        <is>
          <t>테스트 예상 결과</t>
        </is>
      </c>
      <c r="H5" s="22" t="inlineStr">
        <is>
          <t>QA</t>
        </is>
      </c>
      <c r="I5" s="22" t="inlineStr">
        <is>
          <t>QA결과 
(정상/오류)</t>
        </is>
      </c>
      <c r="J5" s="22" t="inlineStr">
        <is>
          <t>QA내용</t>
        </is>
      </c>
      <c r="K5" s="12" t="inlineStr">
        <is>
          <t>QA날짜</t>
        </is>
      </c>
    </row>
    <row r="6" ht="16.5" customHeight="1" s="33">
      <c r="A6" s="34" t="inlineStr">
        <is>
          <t>정기점검주기_AD230</t>
        </is>
      </c>
      <c r="B6" s="34" t="inlineStr">
        <is>
          <t>목록(조건)</t>
        </is>
      </c>
      <c r="C6" s="34" t="inlineStr">
        <is>
          <t>검색</t>
        </is>
      </c>
      <c r="D6" s="34" t="inlineStr">
        <is>
          <t>AD230_TC_001</t>
        </is>
      </c>
      <c r="E6" s="3" t="inlineStr">
        <is>
          <t>검색 필드의 기본값을 확인한다.</t>
        </is>
      </c>
      <c r="F6" s="4" t="inlineStr">
        <is>
          <t>메뉴 접속 후 목록(조건) 탭 클릭</t>
        </is>
      </c>
      <c r="G6" s="3" t="inlineStr">
        <is>
          <t>시행여부 = Y 로 입력되어 있고, 나머지 검색 필드(예방작업번호, 작업명, 설비, 설비위치, 공장명, 부서명, 작업그룹명, 담당자, 거래처)는 비어 있음</t>
        </is>
      </c>
      <c r="H6" s="10">
        <f t="array" ref="H6">INDEX('Dev 조치사항'!$H$6:$H$1004, MATCH(1, ('Dev 조치사항'!$D$6:$D$1004=D6)*('Dev 조치사항'!$K$6:$K$1004=_xlfn.MAXIFS('Dev 조치사항'!$K$6:$K$1004, 'Dev 조치사항'!$D$6:$D$1004, D6)), 0))</f>
        <v/>
      </c>
      <c r="I6" s="11">
        <f t="array" ref="I6">INDEX('Dev 조치사항'!$I$6:$I$1004, MATCH(1, ('Dev 조치사항'!$D$6:$D$1004=D6)*('Dev 조치사항'!$K$6:$K$1004=_xlfn.MAXIFS('Dev 조치사항'!$K$6:$K$1004, 'Dev 조치사항'!$D$6:$D$1004, D6)), 0))</f>
        <v/>
      </c>
      <c r="J6" s="16">
        <f t="array" ref="J6">IF(
  INDEX('Dev 조치사항'!$J$6:$J$1004,
    MATCH(1,
      ('Dev 조치사항'!$D$6:$D$1004=D6)*
      ('Dev 조치사항'!$K$6:$K$1004=_xlfn.MAXIFS('Dev 조치사항'!$K$6:$K$1004, 'Dev 조치사항'!$D$6:$D$1004, D6)),
    0)
  ) = "",
  "-",
  INDEX('Dev 조치사항'!$J$6:$J$1004,
    MATCH(1,
      ('Dev 조치사항'!$D$6:$D$1004=D6)*
      ('Dev 조치사항'!$K$6:$K$1004=_xlfn.MAXIFS('Dev 조치사항'!$K$6:$K$1004, 'Dev 조치사항'!$D$6:$D$1004, D6)),
    0)
  )
)</f>
        <v/>
      </c>
      <c r="K6" s="32">
        <f>_xlfn.MAXIFS('Dev 조치사항'!$K$6:$K$1004, 'Dev 조치사항'!$D$6:$D$1004, D6)</f>
        <v/>
      </c>
    </row>
    <row r="7" ht="27" customHeight="1" s="33">
      <c r="A7" s="35" t="n"/>
      <c r="B7" s="35" t="n"/>
      <c r="C7" s="34" t="inlineStr">
        <is>
          <t>검색</t>
        </is>
      </c>
      <c r="D7" s="34" t="inlineStr">
        <is>
          <t>AD230_TC_002</t>
        </is>
      </c>
      <c r="E7" s="3" t="inlineStr">
        <is>
          <t>설비 Lov 팝업의 데이터를 확인한다.</t>
        </is>
      </c>
      <c r="F7" s="4" t="inlineStr">
        <is>
          <t>설비 필드의 돋보기(Lov) 클릭 → 팝업의 목록(위치) 탭 Total 확인</t>
        </is>
      </c>
      <c r="G7" s="3" t="inlineStr">
        <is>
          <t>"설비" Lov 팝업이 열리고, 목록 건수와 내용이 [설비자산 &gt; 설비] 메뉴 목록과 일치함</t>
        </is>
      </c>
      <c r="H7" s="10">
        <f t="array" ref="H7">INDEX('Dev 조치사항'!$H$6:$H$1004, MATCH(1, ('Dev 조치사항'!$D$6:$D$1004=D7)*('Dev 조치사항'!$K$6:$K$1004=_xlfn.MAXIFS('Dev 조치사항'!$K$6:$K$1004, 'Dev 조치사항'!$D$6:$D$1004, D7)), 0))</f>
        <v/>
      </c>
      <c r="I7" s="11">
        <f t="array" ref="I7">INDEX('Dev 조치사항'!$I$6:$I$1004, MATCH(1, ('Dev 조치사항'!$D$6:$D$1004=D7)*('Dev 조치사항'!$K$6:$K$1004=_xlfn.MAXIFS('Dev 조치사항'!$K$6:$K$1004, 'Dev 조치사항'!$D$6:$D$1004, D7)), 0))</f>
        <v/>
      </c>
      <c r="J7" s="16">
        <f t="array" ref="J7">IF(
  INDEX('Dev 조치사항'!$J$6:$J$1004,
    MATCH(1,
      ('Dev 조치사항'!$D$6:$D$1004=D7)*
      ('Dev 조치사항'!$K$6:$K$1004=_xlfn.MAXIFS('Dev 조치사항'!$K$6:$K$1004, 'Dev 조치사항'!$D$6:$D$1004, D7)),
    0)
  ) = "",
  "-",
  INDEX('Dev 조치사항'!$J$6:$J$1004,
    MATCH(1,
      ('Dev 조치사항'!$D$6:$D$1004=D7)*
      ('Dev 조치사항'!$K$6:$K$1004=_xlfn.MAXIFS('Dev 조치사항'!$K$6:$K$1004, 'Dev 조치사항'!$D$6:$D$1004, D7)),
    0)
  )
)</f>
        <v/>
      </c>
      <c r="K7" s="32">
        <f>_xlfn.MAXIFS('Dev 조치사항'!$K$6:$K$1004, 'Dev 조치사항'!$D$6:$D$1004, D7)</f>
        <v/>
      </c>
    </row>
    <row r="8" ht="27" customHeight="1" s="33">
      <c r="A8" s="35" t="n"/>
      <c r="B8" s="35" t="n"/>
      <c r="C8" s="35" t="n"/>
      <c r="D8" s="34" t="inlineStr">
        <is>
          <t>AD230_TC_003</t>
        </is>
      </c>
      <c r="E8" s="3" t="inlineStr">
        <is>
          <t>그 외 검색 필드 Lov 팝업의 데이터를 확인한다.</t>
        </is>
      </c>
      <c r="F8" s="4" t="inlineStr">
        <is>
          <t>설비위치, 공장명, 부서명, 작업그룹명, 담당자, 거래처, 시행여부의 돋보기(Lov)를 하나씩 클릭</t>
        </is>
      </c>
      <c r="G8" s="3" t="inlineStr">
        <is>
          <t>각 Lov 팝업이 열리고, 목록이 원본 메뉴(설비위치설정, 공장설정, 부서, 작업그룹, 사원, 거래처, 시스템코드 IS_USE)와 일치함</t>
        </is>
      </c>
      <c r="H8" s="10">
        <f t="array" ref="H8">INDEX('Dev 조치사항'!$H$6:$H$1004, MATCH(1, ('Dev 조치사항'!$D$6:$D$1004=D8)*('Dev 조치사항'!$K$6:$K$1004=_xlfn.MAXIFS('Dev 조치사항'!$K$6:$K$1004, 'Dev 조치사항'!$D$6:$D$1004, D8)), 0))</f>
        <v/>
      </c>
      <c r="I8" s="11">
        <f t="array" ref="I8">INDEX('Dev 조치사항'!$I$6:$I$1004, MATCH(1, ('Dev 조치사항'!$D$6:$D$1004=D8)*('Dev 조치사항'!$K$6:$K$1004=_xlfn.MAXIFS('Dev 조치사항'!$K$6:$K$1004, 'Dev 조치사항'!$D$6:$D$1004, D8)), 0))</f>
        <v/>
      </c>
      <c r="J8" s="16">
        <f t="array" ref="J8">IF(
  INDEX('Dev 조치사항'!$J$6:$J$1004,
    MATCH(1,
      ('Dev 조치사항'!$D$6:$D$1004=D8)*
      ('Dev 조치사항'!$K$6:$K$1004=_xlfn.MAXIFS('Dev 조치사항'!$K$6:$K$1004, 'Dev 조치사항'!$D$6:$D$1004, D8)),
    0)
  ) = "",
  "-",
  INDEX('Dev 조치사항'!$J$6:$J$1004,
    MATCH(1,
      ('Dev 조치사항'!$D$6:$D$1004=D8)*
      ('Dev 조치사항'!$K$6:$K$1004=_xlfn.MAXIFS('Dev 조치사항'!$K$6:$K$1004, 'Dev 조치사항'!$D$6:$D$1004, D8)),
    0)
  )
)</f>
        <v/>
      </c>
      <c r="K8" s="32">
        <f>_xlfn.MAXIFS('Dev 조치사항'!$K$6:$K$1004, 'Dev 조치사항'!$D$6:$D$1004, D8)</f>
        <v/>
      </c>
    </row>
    <row r="9" ht="27" customHeight="1" s="33">
      <c r="A9" s="35" t="n"/>
      <c r="B9" s="35" t="n"/>
      <c r="C9" s="35" t="n"/>
      <c r="D9" s="34" t="inlineStr">
        <is>
          <t>AD230_TC_004</t>
        </is>
      </c>
      <c r="E9" s="3" t="inlineStr">
        <is>
          <t>조건 하나로 정기점검주기를 검색한다.</t>
        </is>
      </c>
      <c r="F9" s="4" t="inlineStr">
        <is>
          <t>검색 필드마다 실제 데이터 값 1개씩 입력(Lov 필드는 Lov에서 선택) 후 검색 버튼 클릭</t>
        </is>
      </c>
      <c r="G9" s="3" t="inlineStr">
        <is>
          <t>입력한 조건에 맞는 데이터만 목록에 표시되고, 우측 하단 Total 숫자와 조회 건수가 일치함</t>
        </is>
      </c>
      <c r="H9" s="10">
        <f t="array" ref="H9">INDEX('Dev 조치사항'!$H$6:$H$1004, MATCH(1, ('Dev 조치사항'!$D$6:$D$1004=D9)*('Dev 조치사항'!$K$6:$K$1004=_xlfn.MAXIFS('Dev 조치사항'!$K$6:$K$1004, 'Dev 조치사항'!$D$6:$D$1004, D9)), 0))</f>
        <v/>
      </c>
      <c r="I9" s="11">
        <f t="array" ref="I9">INDEX('Dev 조치사항'!$I$6:$I$1004, MATCH(1, ('Dev 조치사항'!$D$6:$D$1004=D9)*('Dev 조치사항'!$K$6:$K$1004=_xlfn.MAXIFS('Dev 조치사항'!$K$6:$K$1004, 'Dev 조치사항'!$D$6:$D$1004, D9)), 0))</f>
        <v/>
      </c>
      <c r="J9" s="16">
        <f t="array" ref="J9">IF(
  INDEX('Dev 조치사항'!$J$6:$J$1004,
    MATCH(1,
      ('Dev 조치사항'!$D$6:$D$1004=D9)*
      ('Dev 조치사항'!$K$6:$K$1004=_xlfn.MAXIFS('Dev 조치사항'!$K$6:$K$1004, 'Dev 조치사항'!$D$6:$D$1004, D9)),
    0)
  ) = "",
  "-",
  INDEX('Dev 조치사항'!$J$6:$J$1004,
    MATCH(1,
      ('Dev 조치사항'!$D$6:$D$1004=D9)*
      ('Dev 조치사항'!$K$6:$K$1004=_xlfn.MAXIFS('Dev 조치사항'!$K$6:$K$1004, 'Dev 조치사항'!$D$6:$D$1004, D9)),
    0)
  )
)</f>
        <v/>
      </c>
      <c r="K9" s="32">
        <f>_xlfn.MAXIFS('Dev 조치사항'!$K$6:$K$1004, 'Dev 조치사항'!$D$6:$D$1004, D9)</f>
        <v/>
      </c>
    </row>
    <row r="10" ht="33" customHeight="1" s="33">
      <c r="A10" s="35" t="n"/>
      <c r="B10" s="35" t="n"/>
      <c r="C10" s="35" t="n"/>
      <c r="D10" s="34" t="inlineStr">
        <is>
          <t>AD230_TC_005</t>
        </is>
      </c>
      <c r="E10" s="3" t="inlineStr">
        <is>
          <t>여러 조건을 조합하여 검색한다.</t>
        </is>
      </c>
      <c r="F10" s="4" t="inlineStr">
        <is>
          <t>① 공장명 + 시행여부  ② 설비 + 부서명 을 함께 입력 후 검색</t>
        </is>
      </c>
      <c r="G10" s="3" t="inlineStr">
        <is>
          <t>모든 조건을 동시에 만족하는 데이터만 표시됨</t>
        </is>
      </c>
      <c r="H10" s="10">
        <f t="array" ref="H10">INDEX('Dev 조치사항'!$H$6:$H$1004, MATCH(1, ('Dev 조치사항'!$D$6:$D$1004=D10)*('Dev 조치사항'!$K$6:$K$1004=_xlfn.MAXIFS('Dev 조치사항'!$K$6:$K$1004, 'Dev 조치사항'!$D$6:$D$1004, D10)), 0))</f>
        <v/>
      </c>
      <c r="I10" s="11">
        <f t="array" ref="I10">INDEX('Dev 조치사항'!$I$6:$I$1004, MATCH(1, ('Dev 조치사항'!$D$6:$D$1004=D10)*('Dev 조치사항'!$K$6:$K$1004=_xlfn.MAXIFS('Dev 조치사항'!$K$6:$K$1004, 'Dev 조치사항'!$D$6:$D$1004, D10)), 0))</f>
        <v/>
      </c>
      <c r="J10" s="16">
        <f t="array" ref="J10">IF(
  INDEX('Dev 조치사항'!$J$6:$J$1004,
    MATCH(1,
      ('Dev 조치사항'!$D$6:$D$1004=D10)*
      ('Dev 조치사항'!$K$6:$K$1004=_xlfn.MAXIFS('Dev 조치사항'!$K$6:$K$1004, 'Dev 조치사항'!$D$6:$D$1004, D10)),
    0)
  ) = "",
  "-",
  INDEX('Dev 조치사항'!$J$6:$J$1004,
    MATCH(1,
      ('Dev 조치사항'!$D$6:$D$1004=D10)*
      ('Dev 조치사항'!$K$6:$K$1004=_xlfn.MAXIFS('Dev 조치사항'!$K$6:$K$1004, 'Dev 조치사항'!$D$6:$D$1004, D10)),
    0)
  )
)</f>
        <v/>
      </c>
      <c r="K10" s="32">
        <f>_xlfn.MAXIFS('Dev 조치사항'!$K$6:$K$1004, 'Dev 조치사항'!$D$6:$D$1004, D10)</f>
        <v/>
      </c>
    </row>
    <row r="11" ht="27" customHeight="1" s="33">
      <c r="A11" s="35" t="n"/>
      <c r="B11" s="35" t="n"/>
      <c r="C11" s="35" t="n"/>
      <c r="D11" s="34" t="inlineStr">
        <is>
          <t>AD230_TC_006</t>
        </is>
      </c>
      <c r="E11" s="3" t="inlineStr">
        <is>
          <t>정기점검주기 전체를 검색한다.</t>
        </is>
      </c>
      <c r="F11" s="4" t="inlineStr">
        <is>
          <t>검색 필드의 값을 모두 지운 뒤 검색 버튼 클릭</t>
        </is>
      </c>
      <c r="G11" s="3" t="inlineStr">
        <is>
          <t>시행여부 Y/N 구분 없이 등록된 전체 데이터가 표시되고 Total n/n 이 전체 건수와 일치함</t>
        </is>
      </c>
      <c r="H11" s="10">
        <f t="array" ref="H11">INDEX('Dev 조치사항'!$H$6:$H$1004, MATCH(1, ('Dev 조치사항'!$D$6:$D$1004=D11)*('Dev 조치사항'!$K$6:$K$1004=_xlfn.MAXIFS('Dev 조치사항'!$K$6:$K$1004, 'Dev 조치사항'!$D$6:$D$1004, D11)), 0))</f>
        <v/>
      </c>
      <c r="I11" s="11">
        <f t="array" ref="I11">INDEX('Dev 조치사항'!$I$6:$I$1004, MATCH(1, ('Dev 조치사항'!$D$6:$D$1004=D11)*('Dev 조치사항'!$K$6:$K$1004=_xlfn.MAXIFS('Dev 조치사항'!$K$6:$K$1004, 'Dev 조치사항'!$D$6:$D$1004, D11)), 0))</f>
        <v/>
      </c>
      <c r="J11" s="16">
        <f t="array" ref="J11">IF(
  INDEX('Dev 조치사항'!$J$6:$J$1004,
    MATCH(1,
      ('Dev 조치사항'!$D$6:$D$1004=D11)*
      ('Dev 조치사항'!$K$6:$K$1004=_xlfn.MAXIFS('Dev 조치사항'!$K$6:$K$1004, 'Dev 조치사항'!$D$6:$D$1004, D11)),
    0)
  ) = "",
  "-",
  INDEX('Dev 조치사항'!$J$6:$J$1004,
    MATCH(1,
      ('Dev 조치사항'!$D$6:$D$1004=D11)*
      ('Dev 조치사항'!$K$6:$K$1004=_xlfn.MAXIFS('Dev 조치사항'!$K$6:$K$1004, 'Dev 조치사항'!$D$6:$D$1004, D11)),
    0)
  )
)</f>
        <v/>
      </c>
      <c r="K11" s="32">
        <f>_xlfn.MAXIFS('Dev 조치사항'!$K$6:$K$1004, 'Dev 조치사항'!$D$6:$D$1004, D11)</f>
        <v/>
      </c>
    </row>
    <row r="12" ht="27" customHeight="1" s="33">
      <c r="A12" s="35" t="n"/>
      <c r="B12" s="36" t="n"/>
      <c r="C12" s="36" t="n"/>
      <c r="D12" s="34" t="inlineStr">
        <is>
          <t>AD230_TC_007</t>
        </is>
      </c>
      <c r="E12" s="3" t="inlineStr">
        <is>
          <t>검색 결과가 없는 조건으로 검색한다.</t>
        </is>
      </c>
      <c r="F12" s="4" t="inlineStr">
        <is>
          <t>존재하지 않는 작업명 입력 후 검색</t>
        </is>
      </c>
      <c r="G12" s="3" t="inlineStr">
        <is>
          <t>목록이 비어 있고 Total 0/0 표시, 오류 팝업 없음</t>
        </is>
      </c>
      <c r="H12" s="10">
        <f t="array" ref="H12">INDEX('Dev 조치사항'!$H$6:$H$1004, MATCH(1, ('Dev 조치사항'!$D$6:$D$1004=D12)*('Dev 조치사항'!$K$6:$K$1004=_xlfn.MAXIFS('Dev 조치사항'!$K$6:$K$1004, 'Dev 조치사항'!$D$6:$D$1004, D12)), 0))</f>
        <v/>
      </c>
      <c r="I12" s="11">
        <f t="array" ref="I12">INDEX('Dev 조치사항'!$I$6:$I$1004, MATCH(1, ('Dev 조치사항'!$D$6:$D$1004=D12)*('Dev 조치사항'!$K$6:$K$1004=_xlfn.MAXIFS('Dev 조치사항'!$K$6:$K$1004, 'Dev 조치사항'!$D$6:$D$1004, D12)), 0))</f>
        <v/>
      </c>
      <c r="J12" s="16">
        <f t="array" ref="J12">IF(
  INDEX('Dev 조치사항'!$J$6:$J$1004,
    MATCH(1,
      ('Dev 조치사항'!$D$6:$D$1004=D12)*
      ('Dev 조치사항'!$K$6:$K$1004=_xlfn.MAXIFS('Dev 조치사항'!$K$6:$K$1004, 'Dev 조치사항'!$D$6:$D$1004, D12)),
    0)
  ) = "",
  "-",
  INDEX('Dev 조치사항'!$J$6:$J$1004,
    MATCH(1,
      ('Dev 조치사항'!$D$6:$D$1004=D12)*
      ('Dev 조치사항'!$K$6:$K$1004=_xlfn.MAXIFS('Dev 조치사항'!$K$6:$K$1004, 'Dev 조치사항'!$D$6:$D$1004, D12)),
    0)
  )
)</f>
        <v/>
      </c>
      <c r="K12" s="32">
        <f>_xlfn.MAXIFS('Dev 조치사항'!$K$6:$K$1004, 'Dev 조치사항'!$D$6:$D$1004, D12)</f>
        <v/>
      </c>
    </row>
    <row r="13" ht="27" customHeight="1" s="33">
      <c r="A13" s="35" t="n"/>
      <c r="B13" s="34" t="inlineStr">
        <is>
          <t>목록(위치), 목록(종류)</t>
        </is>
      </c>
      <c r="C13" s="34" t="inlineStr">
        <is>
          <t>검색</t>
        </is>
      </c>
      <c r="D13" s="34" t="inlineStr">
        <is>
          <t>AD230_TC_008</t>
        </is>
      </c>
      <c r="E13" s="3" t="inlineStr">
        <is>
          <t>트리에서 위치/종류를 선택하여 조회한다.</t>
        </is>
      </c>
      <c r="F13" s="4" t="inlineStr">
        <is>
          <t>① 목록(위치) 탭에서 위치명 트리의 위치 클릭  ② 목록(종류) 탭에서 설비종류 트리의 종류 클릭</t>
        </is>
      </c>
      <c r="G13" s="3" t="inlineStr">
        <is>
          <t>선택한 위치/종류에 속한 설비의 정기점검주기만 오른쪽 목록에 표시됨</t>
        </is>
      </c>
      <c r="H13" s="10">
        <f t="array" ref="H13">INDEX('Dev 조치사항'!$H$6:$H$1004, MATCH(1, ('Dev 조치사항'!$D$6:$D$1004=D13)*('Dev 조치사항'!$K$6:$K$1004=_xlfn.MAXIFS('Dev 조치사항'!$K$6:$K$1004, 'Dev 조치사항'!$D$6:$D$1004, D13)), 0))</f>
        <v/>
      </c>
      <c r="I13" s="11">
        <f t="array" ref="I13">INDEX('Dev 조치사항'!$I$6:$I$1004, MATCH(1, ('Dev 조치사항'!$D$6:$D$1004=D13)*('Dev 조치사항'!$K$6:$K$1004=_xlfn.MAXIFS('Dev 조치사항'!$K$6:$K$1004, 'Dev 조치사항'!$D$6:$D$1004, D13)), 0))</f>
        <v/>
      </c>
      <c r="J13" s="16">
        <f t="array" ref="J13">IF(
  INDEX('Dev 조치사항'!$J$6:$J$1004,
    MATCH(1,
      ('Dev 조치사항'!$D$6:$D$1004=D13)*
      ('Dev 조치사항'!$K$6:$K$1004=_xlfn.MAXIFS('Dev 조치사항'!$K$6:$K$1004, 'Dev 조치사항'!$D$6:$D$1004, D13)),
    0)
  ) = "",
  "-",
  INDEX('Dev 조치사항'!$J$6:$J$1004,
    MATCH(1,
      ('Dev 조치사항'!$D$6:$D$1004=D13)*
      ('Dev 조치사항'!$K$6:$K$1004=_xlfn.MAXIFS('Dev 조치사항'!$K$6:$K$1004, 'Dev 조치사항'!$D$6:$D$1004, D13)),
    0)
  )
)</f>
        <v/>
      </c>
      <c r="K13" s="32">
        <f>_xlfn.MAXIFS('Dev 조치사항'!$K$6:$K$1004, 'Dev 조치사항'!$D$6:$D$1004, D13)</f>
        <v/>
      </c>
    </row>
    <row r="14" ht="27" customHeight="1" s="33">
      <c r="A14" s="35" t="n"/>
      <c r="B14" s="34" t="inlineStr">
        <is>
          <t>목록(위치), 목록(종류), 목록(조건)</t>
        </is>
      </c>
      <c r="C14" s="34" t="inlineStr">
        <is>
          <t>조회</t>
        </is>
      </c>
      <c r="D14" s="34" t="inlineStr">
        <is>
          <t>AD230_TC_009</t>
        </is>
      </c>
      <c r="E14" s="3" t="inlineStr">
        <is>
          <t>조회된 목록을 정렬한다.</t>
        </is>
      </c>
      <c r="F14" s="4" t="inlineStr">
        <is>
          <t>목록 그리드 헤더(예방작업번호, 작업명, 설비번호) 클릭 2회</t>
        </is>
      </c>
      <c r="G14" s="3" t="inlineStr">
        <is>
          <t>선택한 열 기준으로 오름차순 → 내림차순 정렬됨</t>
        </is>
      </c>
      <c r="H14" s="10">
        <f t="array" ref="H14">INDEX('Dev 조치사항'!$H$6:$H$1004, MATCH(1, ('Dev 조치사항'!$D$6:$D$1004=D14)*('Dev 조치사항'!$K$6:$K$1004=_xlfn.MAXIFS('Dev 조치사항'!$K$6:$K$1004, 'Dev 조치사항'!$D$6:$D$1004, D14)), 0))</f>
        <v/>
      </c>
      <c r="I14" s="11">
        <f t="array" ref="I14">INDEX('Dev 조치사항'!$I$6:$I$1004, MATCH(1, ('Dev 조치사항'!$D$6:$D$1004=D14)*('Dev 조치사항'!$K$6:$K$1004=_xlfn.MAXIFS('Dev 조치사항'!$K$6:$K$1004, 'Dev 조치사항'!$D$6:$D$1004, D14)), 0))</f>
        <v/>
      </c>
      <c r="J14" s="16">
        <f t="array" ref="J14">IF(
  INDEX('Dev 조치사항'!$J$6:$J$1004,
    MATCH(1,
      ('Dev 조치사항'!$D$6:$D$1004=D14)*
      ('Dev 조치사항'!$K$6:$K$1004=_xlfn.MAXIFS('Dev 조치사항'!$K$6:$K$1004, 'Dev 조치사항'!$D$6:$D$1004, D14)),
    0)
  ) = "",
  "-",
  INDEX('Dev 조치사항'!$J$6:$J$1004,
    MATCH(1,
      ('Dev 조치사항'!$D$6:$D$1004=D14)*
      ('Dev 조치사항'!$K$6:$K$1004=_xlfn.MAXIFS('Dev 조치사항'!$K$6:$K$1004, 'Dev 조치사항'!$D$6:$D$1004, D14)),
    0)
  )
)</f>
        <v/>
      </c>
      <c r="K14" s="32">
        <f>_xlfn.MAXIFS('Dev 조치사항'!$K$6:$K$1004, 'Dev 조치사항'!$D$6:$D$1004, D14)</f>
        <v/>
      </c>
    </row>
    <row r="15" ht="27" customHeight="1" s="33">
      <c r="A15" s="35" t="n"/>
      <c r="B15" s="35" t="n"/>
      <c r="C15" s="34" t="inlineStr">
        <is>
          <t>조회</t>
        </is>
      </c>
      <c r="D15" s="34" t="inlineStr">
        <is>
          <t>AD230_TC_010</t>
        </is>
      </c>
      <c r="E15" s="3" t="inlineStr">
        <is>
          <t>목록 건수 표시를 확인한다.</t>
        </is>
      </c>
      <c r="F15" s="4" t="inlineStr">
        <is>
          <t>전체 검색 후 목록을 끝까지 스크롤</t>
        </is>
      </c>
      <c r="G15" s="3" t="inlineStr">
        <is>
          <t>Total a/b 에서 a 는 화면에 불러온 건수, b 는 전체 건수이며 스크롤 시 끝까지 불러오면 a = b</t>
        </is>
      </c>
      <c r="H15" s="10">
        <f t="array" ref="H15">INDEX('Dev 조치사항'!$H$6:$H$1004, MATCH(1, ('Dev 조치사항'!$D$6:$D$1004=D15)*('Dev 조치사항'!$K$6:$K$1004=_xlfn.MAXIFS('Dev 조치사항'!$K$6:$K$1004, 'Dev 조치사항'!$D$6:$D$1004, D15)), 0))</f>
        <v/>
      </c>
      <c r="I15" s="11">
        <f t="array" ref="I15">INDEX('Dev 조치사항'!$I$6:$I$1004, MATCH(1, ('Dev 조치사항'!$D$6:$D$1004=D15)*('Dev 조치사항'!$K$6:$K$1004=_xlfn.MAXIFS('Dev 조치사항'!$K$6:$K$1004, 'Dev 조치사항'!$D$6:$D$1004, D15)), 0))</f>
        <v/>
      </c>
      <c r="J15" s="16">
        <f t="array" ref="J15">IF(
  INDEX('Dev 조치사항'!$J$6:$J$1004,
    MATCH(1,
      ('Dev 조치사항'!$D$6:$D$1004=D15)*
      ('Dev 조치사항'!$K$6:$K$1004=_xlfn.MAXIFS('Dev 조치사항'!$K$6:$K$1004, 'Dev 조치사항'!$D$6:$D$1004, D15)),
    0)
  ) = "",
  "-",
  INDEX('Dev 조치사항'!$J$6:$J$1004,
    MATCH(1,
      ('Dev 조치사항'!$D$6:$D$1004=D15)*
      ('Dev 조치사항'!$K$6:$K$1004=_xlfn.MAXIFS('Dev 조치사항'!$K$6:$K$1004, 'Dev 조치사항'!$D$6:$D$1004, D15)),
    0)
  )
)</f>
        <v/>
      </c>
      <c r="K15" s="32">
        <f>_xlfn.MAXIFS('Dev 조치사항'!$K$6:$K$1004, 'Dev 조치사항'!$D$6:$D$1004, D15)</f>
        <v/>
      </c>
    </row>
    <row r="16" ht="27" customHeight="1" s="33">
      <c r="A16" s="35" t="n"/>
      <c r="B16" s="35" t="n"/>
      <c r="C16" s="35" t="n"/>
      <c r="D16" s="34" t="inlineStr">
        <is>
          <t>AD230_TC_011</t>
        </is>
      </c>
      <c r="E16" s="3" t="inlineStr">
        <is>
          <t>(행 클릭) 상세정보를 조회한다.</t>
        </is>
      </c>
      <c r="F16" s="4" t="inlineStr">
        <is>
          <t>목록의 데이터 행 클릭</t>
        </is>
      </c>
      <c r="G16" s="3" t="inlineStr">
        <is>
          <t>목록 하단에 상세(정기점검주기설정 : 번호 / 작업명)가 열리고 해당 데이터 값이 표시됨</t>
        </is>
      </c>
      <c r="H16" s="10">
        <f t="array" ref="H16">INDEX('Dev 조치사항'!$H$6:$H$1004, MATCH(1, ('Dev 조치사항'!$D$6:$D$1004=D16)*('Dev 조치사항'!$K$6:$K$1004=_xlfn.MAXIFS('Dev 조치사항'!$K$6:$K$1004, 'Dev 조치사항'!$D$6:$D$1004, D16)), 0))</f>
        <v/>
      </c>
      <c r="I16" s="11">
        <f t="array" ref="I16">INDEX('Dev 조치사항'!$I$6:$I$1004, MATCH(1, ('Dev 조치사항'!$D$6:$D$1004=D16)*('Dev 조치사항'!$K$6:$K$1004=_xlfn.MAXIFS('Dev 조치사항'!$K$6:$K$1004, 'Dev 조치사항'!$D$6:$D$1004, D16)), 0))</f>
        <v/>
      </c>
      <c r="J16" s="16">
        <f t="array" ref="J16">IF(
  INDEX('Dev 조치사항'!$J$6:$J$1004,
    MATCH(1,
      ('Dev 조치사항'!$D$6:$D$1004=D16)*
      ('Dev 조치사항'!$K$6:$K$1004=_xlfn.MAXIFS('Dev 조치사항'!$K$6:$K$1004, 'Dev 조치사항'!$D$6:$D$1004, D16)),
    0)
  ) = "",
  "-",
  INDEX('Dev 조치사항'!$J$6:$J$1004,
    MATCH(1,
      ('Dev 조치사항'!$D$6:$D$1004=D16)*
      ('Dev 조치사항'!$K$6:$K$1004=_xlfn.MAXIFS('Dev 조치사항'!$K$6:$K$1004, 'Dev 조치사항'!$D$6:$D$1004, D16)),
    0)
  )
)</f>
        <v/>
      </c>
      <c r="K16" s="32">
        <f>_xlfn.MAXIFS('Dev 조치사항'!$K$6:$K$1004, 'Dev 조치사항'!$D$6:$D$1004, D16)</f>
        <v/>
      </c>
    </row>
    <row r="17">
      <c r="A17" s="35" t="n"/>
      <c r="B17" s="35" t="n"/>
      <c r="C17" s="35" t="n"/>
      <c r="D17" s="34" t="inlineStr">
        <is>
          <t>AD230_TC_012</t>
        </is>
      </c>
      <c r="E17" s="3" t="inlineStr">
        <is>
          <t>(상세보기 버튼) 상세정보를 조회한다.</t>
        </is>
      </c>
      <c r="F17" s="4" t="inlineStr">
        <is>
          <t>목록에서 행 선택 후 상세보기 버튼 클릭</t>
        </is>
      </c>
      <c r="G17" s="3" t="inlineStr">
        <is>
          <t>선택한 데이터의 상세가 팝업창으로 열리며 하단 상세와 내용이 같음</t>
        </is>
      </c>
      <c r="H17" s="10">
        <f t="array" ref="H17">INDEX('Dev 조치사항'!$H$6:$H$1004, MATCH(1, ('Dev 조치사항'!$D$6:$D$1004=D17)*('Dev 조치사항'!$K$6:$K$1004=_xlfn.MAXIFS('Dev 조치사항'!$K$6:$K$1004, 'Dev 조치사항'!$D$6:$D$1004, D17)), 0))</f>
        <v/>
      </c>
      <c r="I17" s="11">
        <f t="array" ref="I17">INDEX('Dev 조치사항'!$I$6:$I$1004, MATCH(1, ('Dev 조치사항'!$D$6:$D$1004=D17)*('Dev 조치사항'!$K$6:$K$1004=_xlfn.MAXIFS('Dev 조치사항'!$K$6:$K$1004, 'Dev 조치사항'!$D$6:$D$1004, D17)), 0))</f>
        <v/>
      </c>
      <c r="J17" s="16">
        <f t="array" ref="J17">IF(
  INDEX('Dev 조치사항'!$J$6:$J$1004,
    MATCH(1,
      ('Dev 조치사항'!$D$6:$D$1004=D17)*
      ('Dev 조치사항'!$K$6:$K$1004=_xlfn.MAXIFS('Dev 조치사항'!$K$6:$K$1004, 'Dev 조치사항'!$D$6:$D$1004, D17)),
    0)
  ) = "",
  "-",
  INDEX('Dev 조치사항'!$J$6:$J$1004,
    MATCH(1,
      ('Dev 조치사항'!$D$6:$D$1004=D17)*
      ('Dev 조치사항'!$K$6:$K$1004=_xlfn.MAXIFS('Dev 조치사항'!$K$6:$K$1004, 'Dev 조치사항'!$D$6:$D$1004, D17)),
    0)
  )
)</f>
        <v/>
      </c>
      <c r="K17" s="32">
        <f>_xlfn.MAXIFS('Dev 조치사항'!$K$6:$K$1004, 'Dev 조치사항'!$D$6:$D$1004, D17)</f>
        <v/>
      </c>
    </row>
    <row r="18" ht="54" customHeight="1" s="33">
      <c r="A18" s="35" t="n"/>
      <c r="B18" s="35" t="n"/>
      <c r="C18" s="35" t="n"/>
      <c r="D18" s="34" t="inlineStr">
        <is>
          <t>AD230_TC_013</t>
        </is>
      </c>
      <c r="E18" s="3" t="inlineStr">
        <is>
          <t>목록과 상세의 값이 일치하는지 확인한다.</t>
        </is>
      </c>
      <c r="F18" s="4" t="inlineStr">
        <is>
          <t>목록 한 행의 예방작업번호, 작업명, 설비, 작업그룹명, 담당자, 일정생성방법, 주기를 상세 값과 비교</t>
        </is>
      </c>
      <c r="G18" s="3" t="inlineStr">
        <is>
          <t>목록과 상세의 값이 모두 같음</t>
        </is>
      </c>
      <c r="H18" s="10">
        <f t="array" ref="H18">INDEX('Dev 조치사항'!$H$6:$H$1004, MATCH(1, ('Dev 조치사항'!$D$6:$D$1004=D18)*('Dev 조치사항'!$K$6:$K$1004=_xlfn.MAXIFS('Dev 조치사항'!$K$6:$K$1004, 'Dev 조치사항'!$D$6:$D$1004, D18)), 0))</f>
        <v/>
      </c>
      <c r="I18" s="11">
        <f t="array" ref="I18">INDEX('Dev 조치사항'!$I$6:$I$1004, MATCH(1, ('Dev 조치사항'!$D$6:$D$1004=D18)*('Dev 조치사항'!$K$6:$K$1004=_xlfn.MAXIFS('Dev 조치사항'!$K$6:$K$1004, 'Dev 조치사항'!$D$6:$D$1004, D18)), 0))</f>
        <v/>
      </c>
      <c r="J18" s="16">
        <f t="array" ref="J18">IF(
  INDEX('Dev 조치사항'!$J$6:$J$1004,
    MATCH(1,
      ('Dev 조치사항'!$D$6:$D$1004=D18)*
      ('Dev 조치사항'!$K$6:$K$1004=_xlfn.MAXIFS('Dev 조치사항'!$K$6:$K$1004, 'Dev 조치사항'!$D$6:$D$1004, D18)),
    0)
  ) = "",
  "-",
  INDEX('Dev 조치사항'!$J$6:$J$1004,
    MATCH(1,
      ('Dev 조치사항'!$D$6:$D$1004=D18)*
      ('Dev 조치사항'!$K$6:$K$1004=_xlfn.MAXIFS('Dev 조치사항'!$K$6:$K$1004, 'Dev 조치사항'!$D$6:$D$1004, D18)),
    0)
  )
)</f>
        <v/>
      </c>
      <c r="K18" s="32">
        <f>_xlfn.MAXIFS('Dev 조치사항'!$K$6:$K$1004, 'Dev 조치사항'!$D$6:$D$1004, D18)</f>
        <v/>
      </c>
    </row>
    <row r="19" ht="40.5" customHeight="1" s="33">
      <c r="A19" s="35" t="n"/>
      <c r="B19" s="35" t="n"/>
      <c r="C19" s="35" t="n"/>
      <c r="D19" s="34" t="inlineStr">
        <is>
          <t>AD230_TC_014</t>
        </is>
      </c>
      <c r="E19" s="3" t="inlineStr">
        <is>
          <t>(목록) 데이터 표시 형식을 확인한다.</t>
        </is>
      </c>
      <c r="F19" s="4" t="inlineStr">
        <is>
          <t>목록의 숫자, 날짜, 텍스트, 코드 열 확인</t>
        </is>
      </c>
      <c r="G19" s="3" t="inlineStr">
        <is>
          <t>숫자: 천단위 쉼표, 오른쪽 정렬 / 날짜: yyyy-mm-dd, 가운데 정렬 / 텍스트: 왼쪽 정렬 / 코드: 가운데 정렬</t>
        </is>
      </c>
      <c r="H19" s="10">
        <f t="array" ref="H19">INDEX('Dev 조치사항'!$H$6:$H$1004, MATCH(1, ('Dev 조치사항'!$D$6:$D$1004=D19)*('Dev 조치사항'!$K$6:$K$1004=_xlfn.MAXIFS('Dev 조치사항'!$K$6:$K$1004, 'Dev 조치사항'!$D$6:$D$1004, D19)), 0))</f>
        <v/>
      </c>
      <c r="I19" s="11">
        <f t="array" ref="I19">INDEX('Dev 조치사항'!$I$6:$I$1004, MATCH(1, ('Dev 조치사항'!$D$6:$D$1004=D19)*('Dev 조치사항'!$K$6:$K$1004=_xlfn.MAXIFS('Dev 조치사항'!$K$6:$K$1004, 'Dev 조치사항'!$D$6:$D$1004, D19)), 0))</f>
        <v/>
      </c>
      <c r="J19" s="16">
        <f t="array" ref="J19">IF(
  INDEX('Dev 조치사항'!$J$6:$J$1004,
    MATCH(1,
      ('Dev 조치사항'!$D$6:$D$1004=D19)*
      ('Dev 조치사항'!$K$6:$K$1004=_xlfn.MAXIFS('Dev 조치사항'!$K$6:$K$1004, 'Dev 조치사항'!$D$6:$D$1004, D19)),
    0)
  ) = "",
  "-",
  INDEX('Dev 조치사항'!$J$6:$J$1004,
    MATCH(1,
      ('Dev 조치사항'!$D$6:$D$1004=D19)*
      ('Dev 조치사항'!$K$6:$K$1004=_xlfn.MAXIFS('Dev 조치사항'!$K$6:$K$1004, 'Dev 조치사항'!$D$6:$D$1004, D19)),
    0)
  )
)</f>
        <v/>
      </c>
      <c r="K19" s="32">
        <f>_xlfn.MAXIFS('Dev 조치사항'!$K$6:$K$1004, 'Dev 조치사항'!$D$6:$D$1004, D19)</f>
        <v/>
      </c>
    </row>
    <row r="20" ht="27" customHeight="1" s="33">
      <c r="A20" s="35" t="n"/>
      <c r="B20" s="35" t="n"/>
      <c r="C20" s="35" t="n"/>
      <c r="D20" s="34" t="inlineStr">
        <is>
          <t>AD230_TC_015</t>
        </is>
      </c>
      <c r="E20" s="3" t="inlineStr">
        <is>
          <t>(상세) 데이터 표시 형식을 확인한다.</t>
        </is>
      </c>
      <c r="F20" s="4" t="inlineStr">
        <is>
          <t>상세의 숫자(주기, 몇일전 일정생성?, 예상작업시간), 날짜 필드 확인</t>
        </is>
      </c>
      <c r="G20" s="3" t="inlineStr">
        <is>
          <t>숫자는 오른쪽 정렬, 날짜는 yyyy-mm-dd</t>
        </is>
      </c>
      <c r="H20" s="10">
        <f t="array" ref="H20">INDEX('Dev 조치사항'!$H$6:$H$1004, MATCH(1, ('Dev 조치사항'!$D$6:$D$1004=D20)*('Dev 조치사항'!$K$6:$K$1004=_xlfn.MAXIFS('Dev 조치사항'!$K$6:$K$1004, 'Dev 조치사항'!$D$6:$D$1004, D20)), 0))</f>
        <v/>
      </c>
      <c r="I20" s="11">
        <f t="array" ref="I20">INDEX('Dev 조치사항'!$I$6:$I$1004, MATCH(1, ('Dev 조치사항'!$D$6:$D$1004=D20)*('Dev 조치사항'!$K$6:$K$1004=_xlfn.MAXIFS('Dev 조치사항'!$K$6:$K$1004, 'Dev 조치사항'!$D$6:$D$1004, D20)), 0))</f>
        <v/>
      </c>
      <c r="J20" s="16">
        <f t="array" ref="J20">IF(
  INDEX('Dev 조치사항'!$J$6:$J$1004,
    MATCH(1,
      ('Dev 조치사항'!$D$6:$D$1004=D20)*
      ('Dev 조치사항'!$K$6:$K$1004=_xlfn.MAXIFS('Dev 조치사항'!$K$6:$K$1004, 'Dev 조치사항'!$D$6:$D$1004, D20)),
    0)
  ) = "",
  "-",
  INDEX('Dev 조치사항'!$J$6:$J$1004,
    MATCH(1,
      ('Dev 조치사항'!$D$6:$D$1004=D20)*
      ('Dev 조치사항'!$K$6:$K$1004=_xlfn.MAXIFS('Dev 조치사항'!$K$6:$K$1004, 'Dev 조치사항'!$D$6:$D$1004, D20)),
    0)
  )
)</f>
        <v/>
      </c>
      <c r="K20" s="32">
        <f>_xlfn.MAXIFS('Dev 조치사항'!$K$6:$K$1004, 'Dev 조치사항'!$D$6:$D$1004, D20)</f>
        <v/>
      </c>
    </row>
    <row r="21" ht="27" customHeight="1" s="33">
      <c r="A21" s="35" t="n"/>
      <c r="B21" s="35" t="n"/>
      <c r="C21" s="36" t="n"/>
      <c r="D21" s="34" t="inlineStr">
        <is>
          <t>AD230_TC_016</t>
        </is>
      </c>
      <c r="E21" s="3" t="inlineStr">
        <is>
          <t>읽기전용 필드를 확인한다.</t>
        </is>
      </c>
      <c r="F21" s="4" t="inlineStr">
        <is>
          <t>상세에서 작업종류, 작업형태, 예방작업번호 클릭 후 입력 시도</t>
        </is>
      </c>
      <c r="G21" s="3" t="inlineStr">
        <is>
          <t>회색으로 표시되고 값을 수정할 수 없음</t>
        </is>
      </c>
      <c r="H21" s="10">
        <f t="array" ref="H21">INDEX('Dev 조치사항'!$H$6:$H$1004, MATCH(1, ('Dev 조치사항'!$D$6:$D$1004=D21)*('Dev 조치사항'!$K$6:$K$1004=_xlfn.MAXIFS('Dev 조치사항'!$K$6:$K$1004, 'Dev 조치사항'!$D$6:$D$1004, D21)), 0))</f>
        <v/>
      </c>
      <c r="I21" s="11">
        <f t="array" ref="I21">INDEX('Dev 조치사항'!$I$6:$I$1004, MATCH(1, ('Dev 조치사항'!$D$6:$D$1004=D21)*('Dev 조치사항'!$K$6:$K$1004=_xlfn.MAXIFS('Dev 조치사항'!$K$6:$K$1004, 'Dev 조치사항'!$D$6:$D$1004, D21)), 0))</f>
        <v/>
      </c>
      <c r="J21" s="16">
        <f t="array" ref="J21">IF(
  INDEX('Dev 조치사항'!$J$6:$J$1004,
    MATCH(1,
      ('Dev 조치사항'!$D$6:$D$1004=D21)*
      ('Dev 조치사항'!$K$6:$K$1004=_xlfn.MAXIFS('Dev 조치사항'!$K$6:$K$1004, 'Dev 조치사항'!$D$6:$D$1004, D21)),
    0)
  ) = "",
  "-",
  INDEX('Dev 조치사항'!$J$6:$J$1004,
    MATCH(1,
      ('Dev 조치사항'!$D$6:$D$1004=D21)*
      ('Dev 조치사항'!$K$6:$K$1004=_xlfn.MAXIFS('Dev 조치사항'!$K$6:$K$1004, 'Dev 조치사항'!$D$6:$D$1004, D21)),
    0)
  )
)</f>
        <v/>
      </c>
      <c r="K21" s="32">
        <f>_xlfn.MAXIFS('Dev 조치사항'!$K$6:$K$1004, 'Dev 조치사항'!$D$6:$D$1004, D21)</f>
        <v/>
      </c>
    </row>
    <row r="22" ht="66" customHeight="1" s="33">
      <c r="A22" s="35" t="n"/>
      <c r="B22" s="35" t="n"/>
      <c r="C22" s="34" t="inlineStr">
        <is>
          <t>닫기</t>
        </is>
      </c>
      <c r="D22" s="34" t="inlineStr">
        <is>
          <t>AD230_TC_017</t>
        </is>
      </c>
      <c r="E22" s="3" t="inlineStr">
        <is>
          <t>상세를 닫는다.</t>
        </is>
      </c>
      <c r="F22" s="4" t="inlineStr">
        <is>
          <t>① 하단 상세의 닫기(ⓧ) 클릭  ② 상세보기 팝업의 X 클릭</t>
        </is>
      </c>
      <c r="G22" s="3" t="inlineStr">
        <is>
          <t>상세(팝업)가 닫히고 목록 화면만 남음</t>
        </is>
      </c>
      <c r="H22" s="10">
        <f t="array" ref="H22">INDEX('Dev 조치사항'!$H$6:$H$1004, MATCH(1, ('Dev 조치사항'!$D$6:$D$1004=D22)*('Dev 조치사항'!$K$6:$K$1004=_xlfn.MAXIFS('Dev 조치사항'!$K$6:$K$1004, 'Dev 조치사항'!$D$6:$D$1004, D22)), 0))</f>
        <v/>
      </c>
      <c r="I22" s="11">
        <f t="array" ref="I22">INDEX('Dev 조치사항'!$I$6:$I$1004, MATCH(1, ('Dev 조치사항'!$D$6:$D$1004=D22)*('Dev 조치사항'!$K$6:$K$1004=_xlfn.MAXIFS('Dev 조치사항'!$K$6:$K$1004, 'Dev 조치사항'!$D$6:$D$1004, D22)), 0))</f>
        <v/>
      </c>
      <c r="J22" s="16">
        <f t="array" ref="J22">IF(
  INDEX('Dev 조치사항'!$J$6:$J$1004,
    MATCH(1,
      ('Dev 조치사항'!$D$6:$D$1004=D22)*
      ('Dev 조치사항'!$K$6:$K$1004=_xlfn.MAXIFS('Dev 조치사항'!$K$6:$K$1004, 'Dev 조치사항'!$D$6:$D$1004, D22)),
    0)
  ) = "",
  "-",
  INDEX('Dev 조치사항'!$J$6:$J$1004,
    MATCH(1,
      ('Dev 조치사항'!$D$6:$D$1004=D22)*
      ('Dev 조치사항'!$K$6:$K$1004=_xlfn.MAXIFS('Dev 조치사항'!$K$6:$K$1004, 'Dev 조치사항'!$D$6:$D$1004, D22)),
    0)
  )
)</f>
        <v/>
      </c>
      <c r="K22" s="32">
        <f>_xlfn.MAXIFS('Dev 조치사항'!$K$6:$K$1004, 'Dev 조치사항'!$D$6:$D$1004, D22)</f>
        <v/>
      </c>
    </row>
    <row r="23" ht="27" customHeight="1" s="33">
      <c r="A23" s="35" t="n"/>
      <c r="B23" s="35" t="n"/>
      <c r="C23" s="34" t="inlineStr">
        <is>
          <t>생성</t>
        </is>
      </c>
      <c r="D23" s="34" t="inlineStr">
        <is>
          <t>AD230_TC_018</t>
        </is>
      </c>
      <c r="E23" s="3" t="inlineStr">
        <is>
          <t>생성 시 기본값을 확인한다.</t>
        </is>
      </c>
      <c r="F23" s="4" t="inlineStr">
        <is>
          <t>목록의 생성 버튼 클릭 (목록(위치)/(종류)에서는 작업형태 선택)</t>
        </is>
      </c>
      <c r="G23" s="3" t="inlineStr">
        <is>
          <t>빈 상세가 열리고 기본값이 채워짐: 작업종류·작업형태 = 정기점검, 예방작업번호 자동 부여, 시행여부 Y, 일정생성방법 TBM, 몇일전 일정생성? 7, 공장·부서명 = 로그인 사용자 소속</t>
        </is>
      </c>
      <c r="H23" s="10">
        <f t="array" ref="H23">INDEX('Dev 조치사항'!$H$6:$H$1004, MATCH(1, ('Dev 조치사항'!$D$6:$D$1004=D23)*('Dev 조치사항'!$K$6:$K$1004=_xlfn.MAXIFS('Dev 조치사항'!$K$6:$K$1004, 'Dev 조치사항'!$D$6:$D$1004, D23)), 0))</f>
        <v/>
      </c>
      <c r="I23" s="11">
        <f t="array" ref="I23">INDEX('Dev 조치사항'!$I$6:$I$1004, MATCH(1, ('Dev 조치사항'!$D$6:$D$1004=D23)*('Dev 조치사항'!$K$6:$K$1004=_xlfn.MAXIFS('Dev 조치사항'!$K$6:$K$1004, 'Dev 조치사항'!$D$6:$D$1004, D23)), 0))</f>
        <v/>
      </c>
      <c r="J23" s="16">
        <f t="array" ref="J23">IF(
  INDEX('Dev 조치사항'!$J$6:$J$1004,
    MATCH(1,
      ('Dev 조치사항'!$D$6:$D$1004=D23)*
      ('Dev 조치사항'!$K$6:$K$1004=_xlfn.MAXIFS('Dev 조치사항'!$K$6:$K$1004, 'Dev 조치사항'!$D$6:$D$1004, D23)),
    0)
  ) = "",
  "-",
  INDEX('Dev 조치사항'!$J$6:$J$1004,
    MATCH(1,
      ('Dev 조치사항'!$D$6:$D$1004=D23)*
      ('Dev 조치사항'!$K$6:$K$1004=_xlfn.MAXIFS('Dev 조치사항'!$K$6:$K$1004, 'Dev 조치사항'!$D$6:$D$1004, D23)),
    0)
  )
)</f>
        <v/>
      </c>
      <c r="K23" s="32">
        <f>_xlfn.MAXIFS('Dev 조치사항'!$K$6:$K$1004, 'Dev 조치사항'!$D$6:$D$1004, D23)</f>
        <v/>
      </c>
    </row>
    <row r="24" ht="54" customHeight="1" s="33">
      <c r="A24" s="35" t="n"/>
      <c r="B24" s="35" t="n"/>
      <c r="C24" s="35" t="n"/>
      <c r="D24" s="34" t="inlineStr">
        <is>
          <t>AD230_TC_019</t>
        </is>
      </c>
      <c r="E24" s="3" t="inlineStr">
        <is>
          <t>필수값을 모두 넣어 정기점검주기를 생성한다.</t>
        </is>
      </c>
      <c r="F24" s="4" t="inlineStr">
        <is>
          <t>1. 생성 클릭
2. 작업명, 주기(숫자+주기구분), 근무달력 입력(Lov 선택), 그 외 담당자·작업그룹 입력
3. 저장 → OK</t>
        </is>
      </c>
      <c r="G24" s="3" t="inlineStr">
        <is>
          <t>저장 완료, 목록에 새 행 추가, 상세 제목에 예방작업번호 / 작업명 표시</t>
        </is>
      </c>
      <c r="H24" s="10">
        <f t="array" ref="H24">INDEX('Dev 조치사항'!$H$6:$H$1004, MATCH(1, ('Dev 조치사항'!$D$6:$D$1004=D24)*('Dev 조치사항'!$K$6:$K$1004=_xlfn.MAXIFS('Dev 조치사항'!$K$6:$K$1004, 'Dev 조치사항'!$D$6:$D$1004, D24)), 0))</f>
        <v/>
      </c>
      <c r="I24" s="11">
        <f t="array" ref="I24">INDEX('Dev 조치사항'!$I$6:$I$1004, MATCH(1, ('Dev 조치사항'!$D$6:$D$1004=D24)*('Dev 조치사항'!$K$6:$K$1004=_xlfn.MAXIFS('Dev 조치사항'!$K$6:$K$1004, 'Dev 조치사항'!$D$6:$D$1004, D24)), 0))</f>
        <v/>
      </c>
      <c r="J24" s="16">
        <f t="array" ref="J24">IF(
  INDEX('Dev 조치사항'!$J$6:$J$1004,
    MATCH(1,
      ('Dev 조치사항'!$D$6:$D$1004=D24)*
      ('Dev 조치사항'!$K$6:$K$1004=_xlfn.MAXIFS('Dev 조치사항'!$K$6:$K$1004, 'Dev 조치사항'!$D$6:$D$1004, D24)),
    0)
  ) = "",
  "-",
  INDEX('Dev 조치사항'!$J$6:$J$1004,
    MATCH(1,
      ('Dev 조치사항'!$D$6:$D$1004=D24)*
      ('Dev 조치사항'!$K$6:$K$1004=_xlfn.MAXIFS('Dev 조치사항'!$K$6:$K$1004, 'Dev 조치사항'!$D$6:$D$1004, D24)),
    0)
  )
)</f>
        <v/>
      </c>
      <c r="K24" s="32">
        <f>_xlfn.MAXIFS('Dev 조치사항'!$K$6:$K$1004, 'Dev 조치사항'!$D$6:$D$1004, D24)</f>
        <v/>
      </c>
    </row>
    <row r="25" ht="27" customHeight="1" s="33">
      <c r="A25" s="35" t="n"/>
      <c r="B25" s="35" t="n"/>
      <c r="C25" s="36" t="n"/>
      <c r="D25" s="34" t="inlineStr">
        <is>
          <t>AD230_TC_020</t>
        </is>
      </c>
      <c r="E25" s="3" t="inlineStr">
        <is>
          <t>필수값을 하나씩 비우고 저장한다.</t>
        </is>
      </c>
      <c r="F25" s="4" t="inlineStr">
        <is>
          <t>작업명, 일정생성방법, 주기, 몇일전 일정생성?, 근무달력, 부서명을 하나씩 비운 채 저장 → OK</t>
        </is>
      </c>
      <c r="G25" s="3" t="inlineStr">
        <is>
          <t>각각 필수값 누락 팝업이 뜨고 저장되지 않음 (6건 모두)</t>
        </is>
      </c>
      <c r="H25" s="10">
        <f t="array" ref="H25">INDEX('Dev 조치사항'!$H$6:$H$1004, MATCH(1, ('Dev 조치사항'!$D$6:$D$1004=D25)*('Dev 조치사항'!$K$6:$K$1004=_xlfn.MAXIFS('Dev 조치사항'!$K$6:$K$1004, 'Dev 조치사항'!$D$6:$D$1004, D25)), 0))</f>
        <v/>
      </c>
      <c r="I25" s="11">
        <f t="array" ref="I25">INDEX('Dev 조치사항'!$I$6:$I$1004, MATCH(1, ('Dev 조치사항'!$D$6:$D$1004=D25)*('Dev 조치사항'!$K$6:$K$1004=_xlfn.MAXIFS('Dev 조치사항'!$K$6:$K$1004, 'Dev 조치사항'!$D$6:$D$1004, D25)), 0))</f>
        <v/>
      </c>
      <c r="J25" s="16">
        <f t="array" ref="J25">IF(
  INDEX('Dev 조치사항'!$J$6:$J$1004,
    MATCH(1,
      ('Dev 조치사항'!$D$6:$D$1004=D25)*
      ('Dev 조치사항'!$K$6:$K$1004=_xlfn.MAXIFS('Dev 조치사항'!$K$6:$K$1004, 'Dev 조치사항'!$D$6:$D$1004, D25)),
    0)
  ) = "",
  "-",
  INDEX('Dev 조치사항'!$J$6:$J$1004,
    MATCH(1,
      ('Dev 조치사항'!$D$6:$D$1004=D25)*
      ('Dev 조치사항'!$K$6:$K$1004=_xlfn.MAXIFS('Dev 조치사항'!$K$6:$K$1004, 'Dev 조치사항'!$D$6:$D$1004, D25)),
    0)
  )
)</f>
        <v/>
      </c>
      <c r="K25" s="32">
        <f>_xlfn.MAXIFS('Dev 조치사항'!$K$6:$K$1004, 'Dev 조치사항'!$D$6:$D$1004, D25)</f>
        <v/>
      </c>
    </row>
    <row r="26" ht="27" customHeight="1" s="33">
      <c r="A26" s="35" t="n"/>
      <c r="B26" s="35" t="n"/>
      <c r="C26" s="34" t="inlineStr">
        <is>
          <t>수정</t>
        </is>
      </c>
      <c r="D26" s="34" t="inlineStr">
        <is>
          <t>AD230_TC_021</t>
        </is>
      </c>
      <c r="E26" s="3" t="inlineStr">
        <is>
          <t>저장된 정기점검주기를 수정한다.</t>
        </is>
      </c>
      <c r="F26" s="4" t="inlineStr">
        <is>
          <t>상세에서 작업명, 주기, 담당자, 비고 변경 후 저장 → OK</t>
        </is>
      </c>
      <c r="G26" s="3" t="inlineStr">
        <is>
          <t>변경 내용이 상세와 목록에 반영됨 (팝업에서 수정한 경우 재검색 후 반영)</t>
        </is>
      </c>
      <c r="H26" s="10">
        <f t="array" ref="H26">INDEX('Dev 조치사항'!$H$6:$H$1004, MATCH(1, ('Dev 조치사항'!$D$6:$D$1004=D26)*('Dev 조치사항'!$K$6:$K$1004=_xlfn.MAXIFS('Dev 조치사항'!$K$6:$K$1004, 'Dev 조치사항'!$D$6:$D$1004, D26)), 0))</f>
        <v/>
      </c>
      <c r="I26" s="11">
        <f t="array" ref="I26">INDEX('Dev 조치사항'!$I$6:$I$1004, MATCH(1, ('Dev 조치사항'!$D$6:$D$1004=D26)*('Dev 조치사항'!$K$6:$K$1004=_xlfn.MAXIFS('Dev 조치사항'!$K$6:$K$1004, 'Dev 조치사항'!$D$6:$D$1004, D26)), 0))</f>
        <v/>
      </c>
      <c r="J26" s="16">
        <f t="array" ref="J26">IF(
  INDEX('Dev 조치사항'!$J$6:$J$1004,
    MATCH(1,
      ('Dev 조치사항'!$D$6:$D$1004=D26)*
      ('Dev 조치사항'!$K$6:$K$1004=_xlfn.MAXIFS('Dev 조치사항'!$K$6:$K$1004, 'Dev 조치사항'!$D$6:$D$1004, D26)),
    0)
  ) = "",
  "-",
  INDEX('Dev 조치사항'!$J$6:$J$1004,
    MATCH(1,
      ('Dev 조치사항'!$D$6:$D$1004=D26)*
      ('Dev 조치사항'!$K$6:$K$1004=_xlfn.MAXIFS('Dev 조치사항'!$K$6:$K$1004, 'Dev 조치사항'!$D$6:$D$1004, D26)),
    0)
  )
)</f>
        <v/>
      </c>
      <c r="K26" s="32">
        <f>_xlfn.MAXIFS('Dev 조치사항'!$K$6:$K$1004, 'Dev 조치사항'!$D$6:$D$1004, D26)</f>
        <v/>
      </c>
    </row>
    <row r="27" ht="27" customHeight="1" s="33">
      <c r="A27" s="35" t="n"/>
      <c r="B27" s="35" t="n"/>
      <c r="C27" s="36" t="n"/>
      <c r="D27" s="34" t="inlineStr">
        <is>
          <t>AD230_TC_022</t>
        </is>
      </c>
      <c r="E27" s="3" t="inlineStr">
        <is>
          <t>필수값을 지우고 수정한다.</t>
        </is>
      </c>
      <c r="F27" s="4" t="inlineStr">
        <is>
          <t>상세에서 작업명을 지운 뒤 저장 → OK</t>
        </is>
      </c>
      <c r="G27" s="3" t="inlineStr">
        <is>
          <t>필수값 누락 팝업이 뜨고 수정되지 않음</t>
        </is>
      </c>
      <c r="H27" s="10">
        <f t="array" ref="H27">INDEX('Dev 조치사항'!$H$6:$H$1004, MATCH(1, ('Dev 조치사항'!$D$6:$D$1004=D27)*('Dev 조치사항'!$K$6:$K$1004=_xlfn.MAXIFS('Dev 조치사항'!$K$6:$K$1004, 'Dev 조치사항'!$D$6:$D$1004, D27)), 0))</f>
        <v/>
      </c>
      <c r="I27" s="11">
        <f t="array" ref="I27">INDEX('Dev 조치사항'!$I$6:$I$1004, MATCH(1, ('Dev 조치사항'!$D$6:$D$1004=D27)*('Dev 조치사항'!$K$6:$K$1004=_xlfn.MAXIFS('Dev 조치사항'!$K$6:$K$1004, 'Dev 조치사항'!$D$6:$D$1004, D27)), 0))</f>
        <v/>
      </c>
      <c r="J27" s="16">
        <f t="array" ref="J27">IF(
  INDEX('Dev 조치사항'!$J$6:$J$1004,
    MATCH(1,
      ('Dev 조치사항'!$D$6:$D$1004=D27)*
      ('Dev 조치사항'!$K$6:$K$1004=_xlfn.MAXIFS('Dev 조치사항'!$K$6:$K$1004, 'Dev 조치사항'!$D$6:$D$1004, D27)),
    0)
  ) = "",
  "-",
  INDEX('Dev 조치사항'!$J$6:$J$1004,
    MATCH(1,
      ('Dev 조치사항'!$D$6:$D$1004=D27)*
      ('Dev 조치사항'!$K$6:$K$1004=_xlfn.MAXIFS('Dev 조치사항'!$K$6:$K$1004, 'Dev 조치사항'!$D$6:$D$1004, D27)),
    0)
  )
)</f>
        <v/>
      </c>
      <c r="K27" s="32">
        <f>_xlfn.MAXIFS('Dev 조치사항'!$K$6:$K$1004, 'Dev 조치사항'!$D$6:$D$1004, D27)</f>
        <v/>
      </c>
    </row>
    <row r="28" ht="27" customHeight="1" s="33">
      <c r="A28" s="35" t="n"/>
      <c r="B28" s="35" t="n"/>
      <c r="C28" s="34" t="inlineStr">
        <is>
          <t>삭제</t>
        </is>
      </c>
      <c r="D28" s="34" t="inlineStr">
        <is>
          <t>AD230_TC_023</t>
        </is>
      </c>
      <c r="E28" s="3" t="inlineStr">
        <is>
          <t>선택한 정기점검주기를 삭제한다. (체크O)</t>
        </is>
      </c>
      <c r="F28" s="4" t="inlineStr">
        <is>
          <t>목록 좌측 체크박스로 이 테스트에서 만든 데이터 선택 → 삭제 → OK (탭별로 확인)</t>
        </is>
      </c>
      <c r="G28" s="3" t="inlineStr">
        <is>
          <t>선택한 데이터가 삭제되고 목록에서 사라짐</t>
        </is>
      </c>
      <c r="H28" s="10">
        <f t="array" ref="H28">INDEX('Dev 조치사항'!$H$6:$H$1004, MATCH(1, ('Dev 조치사항'!$D$6:$D$1004=D28)*('Dev 조치사항'!$K$6:$K$1004=_xlfn.MAXIFS('Dev 조치사항'!$K$6:$K$1004, 'Dev 조치사항'!$D$6:$D$1004, D28)), 0))</f>
        <v/>
      </c>
      <c r="I28" s="11">
        <f t="array" ref="I28">INDEX('Dev 조치사항'!$I$6:$I$1004, MATCH(1, ('Dev 조치사항'!$D$6:$D$1004=D28)*('Dev 조치사항'!$K$6:$K$1004=_xlfn.MAXIFS('Dev 조치사항'!$K$6:$K$1004, 'Dev 조치사항'!$D$6:$D$1004, D28)), 0))</f>
        <v/>
      </c>
      <c r="J28" s="16">
        <f t="array" ref="J28">IF(
  INDEX('Dev 조치사항'!$J$6:$J$1004,
    MATCH(1,
      ('Dev 조치사항'!$D$6:$D$1004=D28)*
      ('Dev 조치사항'!$K$6:$K$1004=_xlfn.MAXIFS('Dev 조치사항'!$K$6:$K$1004, 'Dev 조치사항'!$D$6:$D$1004, D28)),
    0)
  ) = "",
  "-",
  INDEX('Dev 조치사항'!$J$6:$J$1004,
    MATCH(1,
      ('Dev 조치사항'!$D$6:$D$1004=D28)*
      ('Dev 조치사항'!$K$6:$K$1004=_xlfn.MAXIFS('Dev 조치사항'!$K$6:$K$1004, 'Dev 조치사항'!$D$6:$D$1004, D28)),
    0)
  )
)</f>
        <v/>
      </c>
      <c r="K28" s="32">
        <f>_xlfn.MAXIFS('Dev 조치사항'!$K$6:$K$1004, 'Dev 조치사항'!$D$6:$D$1004, D28)</f>
        <v/>
      </c>
    </row>
    <row r="29" ht="27" customHeight="1" s="33">
      <c r="A29" s="35" t="n"/>
      <c r="B29" s="35" t="n"/>
      <c r="C29" s="36" t="n"/>
      <c r="D29" s="34" t="inlineStr">
        <is>
          <t>AD230_TC_024</t>
        </is>
      </c>
      <c r="E29" s="3" t="inlineStr">
        <is>
          <t>선택 없이 삭제한다. (체크X)</t>
        </is>
      </c>
      <c r="F29" s="4" t="inlineStr">
        <is>
          <t>체크박스 선택 없이 삭제 클릭</t>
        </is>
      </c>
      <c r="G29" s="3" t="inlineStr">
        <is>
          <t>"선택된 데이터가 없습니다" 팝업, 삭제되지 않음</t>
        </is>
      </c>
      <c r="H29" s="10">
        <f t="array" ref="H29">INDEX('Dev 조치사항'!$H$6:$H$1004, MATCH(1, ('Dev 조치사항'!$D$6:$D$1004=D29)*('Dev 조치사항'!$K$6:$K$1004=_xlfn.MAXIFS('Dev 조치사항'!$K$6:$K$1004, 'Dev 조치사항'!$D$6:$D$1004, D29)), 0))</f>
        <v/>
      </c>
      <c r="I29" s="11">
        <f t="array" ref="I29">INDEX('Dev 조치사항'!$I$6:$I$1004, MATCH(1, ('Dev 조치사항'!$D$6:$D$1004=D29)*('Dev 조치사항'!$K$6:$K$1004=_xlfn.MAXIFS('Dev 조치사항'!$K$6:$K$1004, 'Dev 조치사항'!$D$6:$D$1004, D29)), 0))</f>
        <v/>
      </c>
      <c r="J29" s="16">
        <f t="array" ref="J29">IF(
  INDEX('Dev 조치사항'!$J$6:$J$1004,
    MATCH(1,
      ('Dev 조치사항'!$D$6:$D$1004=D29)*
      ('Dev 조치사항'!$K$6:$K$1004=_xlfn.MAXIFS('Dev 조치사항'!$K$6:$K$1004, 'Dev 조치사항'!$D$6:$D$1004, D29)),
    0)
  ) = "",
  "-",
  INDEX('Dev 조치사항'!$J$6:$J$1004,
    MATCH(1,
      ('Dev 조치사항'!$D$6:$D$1004=D29)*
      ('Dev 조치사항'!$K$6:$K$1004=_xlfn.MAXIFS('Dev 조치사항'!$K$6:$K$1004, 'Dev 조치사항'!$D$6:$D$1004, D29)),
    0)
  )
)</f>
        <v/>
      </c>
      <c r="K29" s="32">
        <f>_xlfn.MAXIFS('Dev 조치사항'!$K$6:$K$1004, 'Dev 조치사항'!$D$6:$D$1004, D29)</f>
        <v/>
      </c>
    </row>
    <row r="30" ht="27" customHeight="1" s="33">
      <c r="A30" s="35" t="n"/>
      <c r="B30" s="35" t="n"/>
      <c r="C30" s="34" t="inlineStr">
        <is>
          <t>Excel</t>
        </is>
      </c>
      <c r="D30" s="34" t="inlineStr">
        <is>
          <t>AD230_TC_025</t>
        </is>
      </c>
      <c r="E30" s="3" t="inlineStr">
        <is>
          <t>목록을 Excel로 다운로드한다.</t>
        </is>
      </c>
      <c r="F30" s="4" t="inlineStr">
        <is>
          <t>1. 조건 검색
2. Excel 버튼 클릭 후 파일 열기</t>
        </is>
      </c>
      <c r="G30" s="3" t="inlineStr">
        <is>
          <t>조회된 데이터가 담긴 Excel 파일이 받아지고, 행 수와 열 이름이 목록과 같음 (조회 결과가 없으면 헤더만 있음)</t>
        </is>
      </c>
      <c r="H30" s="10">
        <f t="array" ref="H30">INDEX('Dev 조치사항'!$H$6:$H$1004, MATCH(1, ('Dev 조치사항'!$D$6:$D$1004=D30)*('Dev 조치사항'!$K$6:$K$1004=_xlfn.MAXIFS('Dev 조치사항'!$K$6:$K$1004, 'Dev 조치사항'!$D$6:$D$1004, D30)), 0))</f>
        <v/>
      </c>
      <c r="I30" s="11">
        <f t="array" ref="I30">INDEX('Dev 조치사항'!$I$6:$I$1004, MATCH(1, ('Dev 조치사항'!$D$6:$D$1004=D30)*('Dev 조치사항'!$K$6:$K$1004=_xlfn.MAXIFS('Dev 조치사항'!$K$6:$K$1004, 'Dev 조치사항'!$D$6:$D$1004, D30)), 0))</f>
        <v/>
      </c>
      <c r="J30" s="16">
        <f t="array" ref="J30">IF(
  INDEX('Dev 조치사항'!$J$6:$J$1004,
    MATCH(1,
      ('Dev 조치사항'!$D$6:$D$1004=D30)*
      ('Dev 조치사항'!$K$6:$K$1004=_xlfn.MAXIFS('Dev 조치사항'!$K$6:$K$1004, 'Dev 조치사항'!$D$6:$D$1004, D30)),
    0)
  ) = "",
  "-",
  INDEX('Dev 조치사항'!$J$6:$J$1004,
    MATCH(1,
      ('Dev 조치사항'!$D$6:$D$1004=D30)*
      ('Dev 조치사항'!$K$6:$K$1004=_xlfn.MAXIFS('Dev 조치사항'!$K$6:$K$1004, 'Dev 조치사항'!$D$6:$D$1004, D30)),
    0)
  )
)</f>
        <v/>
      </c>
      <c r="K30" s="32">
        <f>_xlfn.MAXIFS('Dev 조치사항'!$K$6:$K$1004, 'Dev 조치사항'!$D$6:$D$1004, D30)</f>
        <v/>
      </c>
    </row>
    <row r="31" ht="27" customHeight="1" s="33">
      <c r="A31" s="35" t="n"/>
      <c r="B31" s="35" t="n"/>
      <c r="C31" s="34" t="inlineStr">
        <is>
          <t>Setting</t>
        </is>
      </c>
      <c r="D31" s="34" t="inlineStr">
        <is>
          <t>AD230_TC_026</t>
        </is>
      </c>
      <c r="E31" s="3" t="inlineStr">
        <is>
          <t>Setting 팝업이 열리는지 확인한다.</t>
        </is>
      </c>
      <c r="F31" s="4" t="inlineStr">
        <is>
          <t>검색, 목록, 상세 영역의 Setting 버튼을 각각 클릭</t>
        </is>
      </c>
      <c r="G31" s="3" t="inlineStr">
        <is>
          <t>각 영역의 Setting(Field 설정) 팝업이 열림
※ Setting 상세 동작(정렬값, Display, 화면표시명, 너비 등)은 공통 기능 문서에서 한 번만 확인</t>
        </is>
      </c>
      <c r="H31" s="10">
        <f t="array" ref="H31">INDEX('Dev 조치사항'!$H$6:$H$1004, MATCH(1, ('Dev 조치사항'!$D$6:$D$1004=D31)*('Dev 조치사항'!$K$6:$K$1004=_xlfn.MAXIFS('Dev 조치사항'!$K$6:$K$1004, 'Dev 조치사항'!$D$6:$D$1004, D31)), 0))</f>
        <v/>
      </c>
      <c r="I31" s="11">
        <f t="array" ref="I31">INDEX('Dev 조치사항'!$I$6:$I$1004, MATCH(1, ('Dev 조치사항'!$D$6:$D$1004=D31)*('Dev 조치사항'!$K$6:$K$1004=_xlfn.MAXIFS('Dev 조치사항'!$K$6:$K$1004, 'Dev 조치사항'!$D$6:$D$1004, D31)), 0))</f>
        <v/>
      </c>
      <c r="J31" s="16">
        <f t="array" ref="J31">IF(
  INDEX('Dev 조치사항'!$J$6:$J$1004,
    MATCH(1,
      ('Dev 조치사항'!$D$6:$D$1004=D31)*
      ('Dev 조치사항'!$K$6:$K$1004=_xlfn.MAXIFS('Dev 조치사항'!$K$6:$K$1004, 'Dev 조치사항'!$D$6:$D$1004, D31)),
    0)
  ) = "",
  "-",
  INDEX('Dev 조치사항'!$J$6:$J$1004,
    MATCH(1,
      ('Dev 조치사항'!$D$6:$D$1004=D31)*
      ('Dev 조치사항'!$K$6:$K$1004=_xlfn.MAXIFS('Dev 조치사항'!$K$6:$K$1004, 'Dev 조치사항'!$D$6:$D$1004, D31)),
    0)
  )
)</f>
        <v/>
      </c>
      <c r="K31" s="32">
        <f>_xlfn.MAXIFS('Dev 조치사항'!$K$6:$K$1004, 'Dev 조치사항'!$D$6:$D$1004, D31)</f>
        <v/>
      </c>
    </row>
    <row r="32" ht="27" customHeight="1" s="33">
      <c r="A32" s="35" t="n"/>
      <c r="B32" s="35" t="n"/>
      <c r="C32" s="34" t="inlineStr">
        <is>
          <t>일정생성</t>
        </is>
      </c>
      <c r="D32" s="34" t="inlineStr">
        <is>
          <t>AD230_TC_027</t>
        </is>
      </c>
      <c r="E32" s="3" t="inlineStr">
        <is>
          <t>TBM 정기점검주기의 일정을 생성한다.</t>
        </is>
      </c>
      <c r="F32" s="4" t="inlineStr">
        <is>
          <t>1. 저장된 정기점검주기(설비 포함) 상세에서 일정생성 클릭 → OK
2. [정기점검계획] 메뉴에서 해당 예방작업번호 조회</t>
        </is>
      </c>
      <c r="G32" s="3" t="inlineStr">
        <is>
          <t>완료 메시지 표시, 정기점검계획에 설비별 계획이 생성되고 첫 일정은 설비의 최초작업예정일 기준, 이후 일정은 주기 간격</t>
        </is>
      </c>
      <c r="H32" s="10">
        <f t="array" ref="H32">INDEX('Dev 조치사항'!$H$6:$H$1004, MATCH(1, ('Dev 조치사항'!$D$6:$D$1004=D32)*('Dev 조치사항'!$K$6:$K$1004=_xlfn.MAXIFS('Dev 조치사항'!$K$6:$K$1004, 'Dev 조치사항'!$D$6:$D$1004, D32)), 0))</f>
        <v/>
      </c>
      <c r="I32" s="11">
        <f t="array" ref="I32">INDEX('Dev 조치사항'!$I$6:$I$1004, MATCH(1, ('Dev 조치사항'!$D$6:$D$1004=D32)*('Dev 조치사항'!$K$6:$K$1004=_xlfn.MAXIFS('Dev 조치사항'!$K$6:$K$1004, 'Dev 조치사항'!$D$6:$D$1004, D32)), 0))</f>
        <v/>
      </c>
      <c r="J32" s="16">
        <f t="array" ref="J32">IF(
  INDEX('Dev 조치사항'!$J$6:$J$1004,
    MATCH(1,
      ('Dev 조치사항'!$D$6:$D$1004=D32)*
      ('Dev 조치사항'!$K$6:$K$1004=_xlfn.MAXIFS('Dev 조치사항'!$K$6:$K$1004, 'Dev 조치사항'!$D$6:$D$1004, D32)),
    0)
  ) = "",
  "-",
  INDEX('Dev 조치사항'!$J$6:$J$1004,
    MATCH(1,
      ('Dev 조치사항'!$D$6:$D$1004=D32)*
      ('Dev 조치사항'!$K$6:$K$1004=_xlfn.MAXIFS('Dev 조치사항'!$K$6:$K$1004, 'Dev 조치사항'!$D$6:$D$1004, D32)),
    0)
  )
)</f>
        <v/>
      </c>
      <c r="K32" s="32">
        <f>_xlfn.MAXIFS('Dev 조치사항'!$K$6:$K$1004, 'Dev 조치사항'!$D$6:$D$1004, D32)</f>
        <v/>
      </c>
    </row>
    <row r="33" ht="27" customHeight="1" s="33">
      <c r="A33" s="35" t="n"/>
      <c r="B33" s="35" t="n"/>
      <c r="C33" s="36" t="n"/>
      <c r="D33" s="34" t="inlineStr">
        <is>
          <t>AD230_TC_028</t>
        </is>
      </c>
      <c r="E33" s="3" t="inlineStr">
        <is>
          <t>저장 전에 일정생성을 누른다.</t>
        </is>
      </c>
      <c r="F33" s="4" t="inlineStr">
        <is>
          <t>생성 클릭 후 값만 입력하고 저장하지 않은 상태에서 일정생성 클릭</t>
        </is>
      </c>
      <c r="G33" s="3" t="inlineStr">
        <is>
          <t>저장이 필요하다는 안내가 뜨고 일정이 생성되지 않음</t>
        </is>
      </c>
      <c r="H33" s="10">
        <f t="array" ref="H33">INDEX('Dev 조치사항'!$H$6:$H$1004, MATCH(1, ('Dev 조치사항'!$D$6:$D$1004=D33)*('Dev 조치사항'!$K$6:$K$1004=_xlfn.MAXIFS('Dev 조치사항'!$K$6:$K$1004, 'Dev 조치사항'!$D$6:$D$1004, D33)), 0))</f>
        <v/>
      </c>
      <c r="I33" s="11">
        <f t="array" ref="I33">INDEX('Dev 조치사항'!$I$6:$I$1004, MATCH(1, ('Dev 조치사항'!$D$6:$D$1004=D33)*('Dev 조치사항'!$K$6:$K$1004=_xlfn.MAXIFS('Dev 조치사항'!$K$6:$K$1004, 'Dev 조치사항'!$D$6:$D$1004, D33)), 0))</f>
        <v/>
      </c>
      <c r="J33" s="16">
        <f t="array" ref="J33">IF(
  INDEX('Dev 조치사항'!$J$6:$J$1004,
    MATCH(1,
      ('Dev 조치사항'!$D$6:$D$1004=D33)*
      ('Dev 조치사항'!$K$6:$K$1004=_xlfn.MAXIFS('Dev 조치사항'!$K$6:$K$1004, 'Dev 조치사항'!$D$6:$D$1004, D33)),
    0)
  ) = "",
  "-",
  INDEX('Dev 조치사항'!$J$6:$J$1004,
    MATCH(1,
      ('Dev 조치사항'!$D$6:$D$1004=D33)*
      ('Dev 조치사항'!$K$6:$K$1004=_xlfn.MAXIFS('Dev 조치사항'!$K$6:$K$1004, 'Dev 조치사항'!$D$6:$D$1004, D33)),
    0)
  )
)</f>
        <v/>
      </c>
      <c r="K33" s="32">
        <f>_xlfn.MAXIFS('Dev 조치사항'!$K$6:$K$1004, 'Dev 조치사항'!$D$6:$D$1004, D33)</f>
        <v/>
      </c>
    </row>
    <row r="34" ht="27" customHeight="1" s="33">
      <c r="A34" s="35" t="n"/>
      <c r="B34" s="35" t="n"/>
      <c r="C34" s="34" t="inlineStr">
        <is>
          <t>Linked</t>
        </is>
      </c>
      <c r="D34" s="34" t="inlineStr">
        <is>
          <t>AD230_TC_029</t>
        </is>
      </c>
      <c r="E34" s="3" t="inlineStr">
        <is>
          <t>점검일정을 확인한다.</t>
        </is>
      </c>
      <c r="F34" s="4" t="inlineStr">
        <is>
          <t>상세의 Linked → 점검일정 클릭</t>
        </is>
      </c>
      <c r="G34" s="3" t="inlineStr">
        <is>
          <t>해당 예방작업번호의 점검일정이 팝업(목록(조건))으로 열림</t>
        </is>
      </c>
      <c r="H34" s="10">
        <f t="array" ref="H34">INDEX('Dev 조치사항'!$H$6:$H$1004, MATCH(1, ('Dev 조치사항'!$D$6:$D$1004=D34)*('Dev 조치사항'!$K$6:$K$1004=_xlfn.MAXIFS('Dev 조치사항'!$K$6:$K$1004, 'Dev 조치사항'!$D$6:$D$1004, D34)), 0))</f>
        <v/>
      </c>
      <c r="I34" s="11">
        <f t="array" ref="I34">INDEX('Dev 조치사항'!$I$6:$I$1004, MATCH(1, ('Dev 조치사항'!$D$6:$D$1004=D34)*('Dev 조치사항'!$K$6:$K$1004=_xlfn.MAXIFS('Dev 조치사항'!$K$6:$K$1004, 'Dev 조치사항'!$D$6:$D$1004, D34)), 0))</f>
        <v/>
      </c>
      <c r="J34" s="16">
        <f t="array" ref="J34">IF(
  INDEX('Dev 조치사항'!$J$6:$J$1004,
    MATCH(1,
      ('Dev 조치사항'!$D$6:$D$1004=D34)*
      ('Dev 조치사항'!$K$6:$K$1004=_xlfn.MAXIFS('Dev 조치사항'!$K$6:$K$1004, 'Dev 조치사항'!$D$6:$D$1004, D34)),
    0)
  ) = "",
  "-",
  INDEX('Dev 조치사항'!$J$6:$J$1004,
    MATCH(1,
      ('Dev 조치사항'!$D$6:$D$1004=D34)*
      ('Dev 조치사항'!$K$6:$K$1004=_xlfn.MAXIFS('Dev 조치사항'!$K$6:$K$1004, 'Dev 조치사항'!$D$6:$D$1004, D34)),
    0)
  )
)</f>
        <v/>
      </c>
      <c r="K34" s="32">
        <f>_xlfn.MAXIFS('Dev 조치사항'!$K$6:$K$1004, 'Dev 조치사항'!$D$6:$D$1004, D34)</f>
        <v/>
      </c>
    </row>
    <row r="35" ht="27" customHeight="1" s="33">
      <c r="A35" s="35" t="n"/>
      <c r="B35" s="36" t="n"/>
      <c r="C35" s="36" t="n"/>
      <c r="D35" s="34" t="inlineStr">
        <is>
          <t>AD230_TC_030</t>
        </is>
      </c>
      <c r="E35" s="3" t="inlineStr">
        <is>
          <t>연간점검일정을 확인한다.</t>
        </is>
      </c>
      <c r="F35" s="4" t="inlineStr">
        <is>
          <t>상세의 Linked → 연간점검일정 클릭</t>
        </is>
      </c>
      <c r="G35" s="3" t="inlineStr">
        <is>
          <t>해당 예방작업번호의 연간점검일정이 팝업(카렌다(연간))으로 열림</t>
        </is>
      </c>
      <c r="H35" s="10">
        <f t="array" ref="H35">INDEX('Dev 조치사항'!$H$6:$H$1004, MATCH(1, ('Dev 조치사항'!$D$6:$D$1004=D35)*('Dev 조치사항'!$K$6:$K$1004=_xlfn.MAXIFS('Dev 조치사항'!$K$6:$K$1004, 'Dev 조치사항'!$D$6:$D$1004, D35)), 0))</f>
        <v/>
      </c>
      <c r="I35" s="11">
        <f t="array" ref="I35">INDEX('Dev 조치사항'!$I$6:$I$1004, MATCH(1, ('Dev 조치사항'!$D$6:$D$1004=D35)*('Dev 조치사항'!$K$6:$K$1004=_xlfn.MAXIFS('Dev 조치사항'!$K$6:$K$1004, 'Dev 조치사항'!$D$6:$D$1004, D35)), 0))</f>
        <v/>
      </c>
      <c r="J35" s="16">
        <f t="array" ref="J35">IF(
  INDEX('Dev 조치사항'!$J$6:$J$1004,
    MATCH(1,
      ('Dev 조치사항'!$D$6:$D$1004=D35)*
      ('Dev 조치사항'!$K$6:$K$1004=_xlfn.MAXIFS('Dev 조치사항'!$K$6:$K$1004, 'Dev 조치사항'!$D$6:$D$1004, D35)),
    0)
  ) = "",
  "-",
  INDEX('Dev 조치사항'!$J$6:$J$1004,
    MATCH(1,
      ('Dev 조치사항'!$D$6:$D$1004=D35)*
      ('Dev 조치사항'!$K$6:$K$1004=_xlfn.MAXIFS('Dev 조치사항'!$K$6:$K$1004, 'Dev 조치사항'!$D$6:$D$1004, D35)),
    0)
  )
)</f>
        <v/>
      </c>
      <c r="K35" s="32">
        <f>_xlfn.MAXIFS('Dev 조치사항'!$K$6:$K$1004, 'Dev 조치사항'!$D$6:$D$1004, D35)</f>
        <v/>
      </c>
    </row>
    <row r="36" ht="27" customHeight="1" s="33">
      <c r="A36" s="35" t="n"/>
      <c r="B36" s="34" t="inlineStr">
        <is>
          <t>설비</t>
        </is>
      </c>
      <c r="C36" s="34" t="inlineStr">
        <is>
          <t>탭조회</t>
        </is>
      </c>
      <c r="D36" s="34" t="inlineStr">
        <is>
          <t>AD230_TC_031</t>
        </is>
      </c>
      <c r="E36" s="3" t="inlineStr">
        <is>
          <t>설비 목록을 조회한다.</t>
        </is>
      </c>
      <c r="F36" s="4" t="inlineStr">
        <is>
          <t>상세 하단 설비 목록 확인</t>
        </is>
      </c>
      <c r="G36" s="3" t="inlineStr">
        <is>
          <t>등록된 설비가 표시되고 제목 옆 숫자, Total 과 행 수가 일치함</t>
        </is>
      </c>
      <c r="H36" s="10">
        <f t="array" ref="H36">INDEX('Dev 조치사항'!$H$6:$H$1004, MATCH(1, ('Dev 조치사항'!$D$6:$D$1004=D36)*('Dev 조치사항'!$K$6:$K$1004=_xlfn.MAXIFS('Dev 조치사항'!$K$6:$K$1004, 'Dev 조치사항'!$D$6:$D$1004, D36)), 0))</f>
        <v/>
      </c>
      <c r="I36" s="11">
        <f t="array" ref="I36">INDEX('Dev 조치사항'!$I$6:$I$1004, MATCH(1, ('Dev 조치사항'!$D$6:$D$1004=D36)*('Dev 조치사항'!$K$6:$K$1004=_xlfn.MAXIFS('Dev 조치사항'!$K$6:$K$1004, 'Dev 조치사항'!$D$6:$D$1004, D36)), 0))</f>
        <v/>
      </c>
      <c r="J36" s="16">
        <f t="array" ref="J36">IF(
  INDEX('Dev 조치사항'!$J$6:$J$1004,
    MATCH(1,
      ('Dev 조치사항'!$D$6:$D$1004=D36)*
      ('Dev 조치사항'!$K$6:$K$1004=_xlfn.MAXIFS('Dev 조치사항'!$K$6:$K$1004, 'Dev 조치사항'!$D$6:$D$1004, D36)),
    0)
  ) = "",
  "-",
  INDEX('Dev 조치사항'!$J$6:$J$1004,
    MATCH(1,
      ('Dev 조치사항'!$D$6:$D$1004=D36)*
      ('Dev 조치사항'!$K$6:$K$1004=_xlfn.MAXIFS('Dev 조치사항'!$K$6:$K$1004, 'Dev 조치사항'!$D$6:$D$1004, D36)),
    0)
  )
)</f>
        <v/>
      </c>
      <c r="K36" s="32">
        <f>_xlfn.MAXIFS('Dev 조치사항'!$K$6:$K$1004, 'Dev 조치사항'!$D$6:$D$1004, D36)</f>
        <v/>
      </c>
    </row>
    <row r="37" ht="27" customHeight="1" s="33">
      <c r="A37" s="35" t="n"/>
      <c r="B37" s="35" t="n"/>
      <c r="C37" s="34" t="inlineStr">
        <is>
          <t>탭생성</t>
        </is>
      </c>
      <c r="D37" s="34" t="inlineStr">
        <is>
          <t>AD230_TC_032</t>
        </is>
      </c>
      <c r="E37" s="3" t="inlineStr">
        <is>
          <t>설비를 추가한다.</t>
        </is>
      </c>
      <c r="F37" s="4" t="inlineStr">
        <is>
          <t>설비 목록의 생성 → 설비 돋보기(Lov)에서 설비 조회·선택 → 최초작업예정일 입력 → 저장 → OK</t>
        </is>
      </c>
      <c r="G37" s="3" t="inlineStr">
        <is>
          <t>선택한 설비가 목록에 추가되고 설비번호·설비명·설비위치가 Lov에서 고른 값과 같음</t>
        </is>
      </c>
      <c r="H37" s="10">
        <f t="array" ref="H37">INDEX('Dev 조치사항'!$H$6:$H$1004, MATCH(1, ('Dev 조치사항'!$D$6:$D$1004=D37)*('Dev 조치사항'!$K$6:$K$1004=_xlfn.MAXIFS('Dev 조치사항'!$K$6:$K$1004, 'Dev 조치사항'!$D$6:$D$1004, D37)), 0))</f>
        <v/>
      </c>
      <c r="I37" s="11">
        <f t="array" ref="I37">INDEX('Dev 조치사항'!$I$6:$I$1004, MATCH(1, ('Dev 조치사항'!$D$6:$D$1004=D37)*('Dev 조치사항'!$K$6:$K$1004=_xlfn.MAXIFS('Dev 조치사항'!$K$6:$K$1004, 'Dev 조치사항'!$D$6:$D$1004, D37)), 0))</f>
        <v/>
      </c>
      <c r="J37" s="16">
        <f t="array" ref="J37">IF(
  INDEX('Dev 조치사항'!$J$6:$J$1004,
    MATCH(1,
      ('Dev 조치사항'!$D$6:$D$1004=D37)*
      ('Dev 조치사항'!$K$6:$K$1004=_xlfn.MAXIFS('Dev 조치사항'!$K$6:$K$1004, 'Dev 조치사항'!$D$6:$D$1004, D37)),
    0)
  ) = "",
  "-",
  INDEX('Dev 조치사항'!$J$6:$J$1004,
    MATCH(1,
      ('Dev 조치사항'!$D$6:$D$1004=D37)*
      ('Dev 조치사항'!$K$6:$K$1004=_xlfn.MAXIFS('Dev 조치사항'!$K$6:$K$1004, 'Dev 조치사항'!$D$6:$D$1004, D37)),
    0)
  )
)</f>
        <v/>
      </c>
      <c r="K37" s="32">
        <f>_xlfn.MAXIFS('Dev 조치사항'!$K$6:$K$1004, 'Dev 조치사항'!$D$6:$D$1004, D37)</f>
        <v/>
      </c>
    </row>
    <row r="38" ht="27" customHeight="1" s="33">
      <c r="A38" s="35" t="n"/>
      <c r="B38" s="35" t="n"/>
      <c r="C38" s="36" t="n"/>
      <c r="D38" s="34" t="inlineStr">
        <is>
          <t>AD230_TC_033</t>
        </is>
      </c>
      <c r="E38" s="3" t="inlineStr">
        <is>
          <t>설비를 필수값 없이 추가한다.</t>
        </is>
      </c>
      <c r="F38" s="4" t="inlineStr">
        <is>
          <t>설비 목록의 생성 → 설비를 고르지 않고 저장 → OK</t>
        </is>
      </c>
      <c r="G38" s="3" t="inlineStr">
        <is>
          <t>필수값 누락 팝업, 저장되지 않음</t>
        </is>
      </c>
      <c r="H38" s="10">
        <f t="array" ref="H38">INDEX('Dev 조치사항'!$H$6:$H$1004, MATCH(1, ('Dev 조치사항'!$D$6:$D$1004=D38)*('Dev 조치사항'!$K$6:$K$1004=_xlfn.MAXIFS('Dev 조치사항'!$K$6:$K$1004, 'Dev 조치사항'!$D$6:$D$1004, D38)), 0))</f>
        <v/>
      </c>
      <c r="I38" s="11">
        <f t="array" ref="I38">INDEX('Dev 조치사항'!$I$6:$I$1004, MATCH(1, ('Dev 조치사항'!$D$6:$D$1004=D38)*('Dev 조치사항'!$K$6:$K$1004=_xlfn.MAXIFS('Dev 조치사항'!$K$6:$K$1004, 'Dev 조치사항'!$D$6:$D$1004, D38)), 0))</f>
        <v/>
      </c>
      <c r="J38" s="16">
        <f t="array" ref="J38">IF(
  INDEX('Dev 조치사항'!$J$6:$J$1004,
    MATCH(1,
      ('Dev 조치사항'!$D$6:$D$1004=D38)*
      ('Dev 조치사항'!$K$6:$K$1004=_xlfn.MAXIFS('Dev 조치사항'!$K$6:$K$1004, 'Dev 조치사항'!$D$6:$D$1004, D38)),
    0)
  ) = "",
  "-",
  INDEX('Dev 조치사항'!$J$6:$J$1004,
    MATCH(1,
      ('Dev 조치사항'!$D$6:$D$1004=D38)*
      ('Dev 조치사항'!$K$6:$K$1004=_xlfn.MAXIFS('Dev 조치사항'!$K$6:$K$1004, 'Dev 조치사항'!$D$6:$D$1004, D38)),
    0)
  )
)</f>
        <v/>
      </c>
      <c r="K38" s="32">
        <f>_xlfn.MAXIFS('Dev 조치사항'!$K$6:$K$1004, 'Dev 조치사항'!$D$6:$D$1004, D38)</f>
        <v/>
      </c>
    </row>
    <row r="39" ht="27" customHeight="1" s="33">
      <c r="A39" s="35" t="n"/>
      <c r="B39" s="35" t="n"/>
      <c r="C39" s="34" t="inlineStr">
        <is>
          <t>탭수정</t>
        </is>
      </c>
      <c r="D39" s="34" t="inlineStr">
        <is>
          <t>AD230_TC_034</t>
        </is>
      </c>
      <c r="E39" s="3" t="inlineStr">
        <is>
          <t>설비의 최초작업예정일·시행여부를 수정한다.</t>
        </is>
      </c>
      <c r="F39" s="4" t="inlineStr">
        <is>
          <t>설비 행 클릭 → 최초작업예정일, 시행여부 변경 → 저장 → OK</t>
        </is>
      </c>
      <c r="G39" s="3" t="inlineStr">
        <is>
          <t>변경 내용이 설비 목록에 반영됨</t>
        </is>
      </c>
      <c r="H39" s="10">
        <f t="array" ref="H39">INDEX('Dev 조치사항'!$H$6:$H$1004, MATCH(1, ('Dev 조치사항'!$D$6:$D$1004=D39)*('Dev 조치사항'!$K$6:$K$1004=_xlfn.MAXIFS('Dev 조치사항'!$K$6:$K$1004, 'Dev 조치사항'!$D$6:$D$1004, D39)), 0))</f>
        <v/>
      </c>
      <c r="I39" s="11">
        <f t="array" ref="I39">INDEX('Dev 조치사항'!$I$6:$I$1004, MATCH(1, ('Dev 조치사항'!$D$6:$D$1004=D39)*('Dev 조치사항'!$K$6:$K$1004=_xlfn.MAXIFS('Dev 조치사항'!$K$6:$K$1004, 'Dev 조치사항'!$D$6:$D$1004, D39)), 0))</f>
        <v/>
      </c>
      <c r="J39" s="16">
        <f t="array" ref="J39">IF(
  INDEX('Dev 조치사항'!$J$6:$J$1004,
    MATCH(1,
      ('Dev 조치사항'!$D$6:$D$1004=D39)*
      ('Dev 조치사항'!$K$6:$K$1004=_xlfn.MAXIFS('Dev 조치사항'!$K$6:$K$1004, 'Dev 조치사항'!$D$6:$D$1004, D39)),
    0)
  ) = "",
  "-",
  INDEX('Dev 조치사항'!$J$6:$J$1004,
    MATCH(1,
      ('Dev 조치사항'!$D$6:$D$1004=D39)*
      ('Dev 조치사항'!$K$6:$K$1004=_xlfn.MAXIFS('Dev 조치사항'!$K$6:$K$1004, 'Dev 조치사항'!$D$6:$D$1004, D39)),
    0)
  )
)</f>
        <v/>
      </c>
      <c r="K39" s="32">
        <f>_xlfn.MAXIFS('Dev 조치사항'!$K$6:$K$1004, 'Dev 조치사항'!$D$6:$D$1004, D39)</f>
        <v/>
      </c>
    </row>
    <row r="40" ht="27" customHeight="1" s="33">
      <c r="A40" s="35" t="n"/>
      <c r="B40" s="35" t="n"/>
      <c r="C40" s="34" t="inlineStr">
        <is>
          <t>탭삭제</t>
        </is>
      </c>
      <c r="D40" s="34" t="inlineStr">
        <is>
          <t>AD230_TC_035</t>
        </is>
      </c>
      <c r="E40" s="3" t="inlineStr">
        <is>
          <t>설비를 삭제한다. (체크O / 체크X)</t>
        </is>
      </c>
      <c r="F40" s="4" t="inlineStr">
        <is>
          <t>① 체크 후 삭제 → OK  ② 체크 없이 삭제</t>
        </is>
      </c>
      <c r="G40" s="3" t="inlineStr">
        <is>
          <t>① 선택한 설비만 삭제됨  ② "선택된 데이터가 없습니다" 팝업</t>
        </is>
      </c>
      <c r="H40" s="10">
        <f t="array" ref="H40">INDEX('Dev 조치사항'!$H$6:$H$1004, MATCH(1, ('Dev 조치사항'!$D$6:$D$1004=D40)*('Dev 조치사항'!$K$6:$K$1004=_xlfn.MAXIFS('Dev 조치사항'!$K$6:$K$1004, 'Dev 조치사항'!$D$6:$D$1004, D40)), 0))</f>
        <v/>
      </c>
      <c r="I40" s="11">
        <f t="array" ref="I40">INDEX('Dev 조치사항'!$I$6:$I$1004, MATCH(1, ('Dev 조치사항'!$D$6:$D$1004=D40)*('Dev 조치사항'!$K$6:$K$1004=_xlfn.MAXIFS('Dev 조치사항'!$K$6:$K$1004, 'Dev 조치사항'!$D$6:$D$1004, D40)), 0))</f>
        <v/>
      </c>
      <c r="J40" s="16">
        <f t="array" ref="J40">IF(
  INDEX('Dev 조치사항'!$J$6:$J$1004,
    MATCH(1,
      ('Dev 조치사항'!$D$6:$D$1004=D40)*
      ('Dev 조치사항'!$K$6:$K$1004=_xlfn.MAXIFS('Dev 조치사항'!$K$6:$K$1004, 'Dev 조치사항'!$D$6:$D$1004, D40)),
    0)
  ) = "",
  "-",
  INDEX('Dev 조치사항'!$J$6:$J$1004,
    MATCH(1,
      ('Dev 조치사항'!$D$6:$D$1004=D40)*
      ('Dev 조치사항'!$K$6:$K$1004=_xlfn.MAXIFS('Dev 조치사항'!$K$6:$K$1004, 'Dev 조치사항'!$D$6:$D$1004, D40)),
    0)
  )
)</f>
        <v/>
      </c>
      <c r="K40" s="32">
        <f>_xlfn.MAXIFS('Dev 조치사항'!$K$6:$K$1004, 'Dev 조치사항'!$D$6:$D$1004, D40)</f>
        <v/>
      </c>
    </row>
    <row r="41">
      <c r="A41" s="35" t="n"/>
      <c r="B41" s="36" t="n"/>
      <c r="C41" s="34" t="inlineStr">
        <is>
          <t>탭Excel</t>
        </is>
      </c>
      <c r="D41" s="34" t="inlineStr">
        <is>
          <t>AD230_TC_036</t>
        </is>
      </c>
      <c r="E41" s="3" t="inlineStr">
        <is>
          <t>설비 목록을 Excel로 다운로드한다.</t>
        </is>
      </c>
      <c r="F41" s="4" t="inlineStr">
        <is>
          <t>설비 목록의 Excel 클릭</t>
        </is>
      </c>
      <c r="G41" s="3" t="inlineStr">
        <is>
          <t>설비 목록이 담긴 Excel 파일이 받아짐 (데이터가 없으면 헤더만)</t>
        </is>
      </c>
      <c r="H41" s="10">
        <f t="array" ref="H41">INDEX('Dev 조치사항'!$H$6:$H$1004, MATCH(1, ('Dev 조치사항'!$D$6:$D$1004=D41)*('Dev 조치사항'!$K$6:$K$1004=_xlfn.MAXIFS('Dev 조치사항'!$K$6:$K$1004, 'Dev 조치사항'!$D$6:$D$1004, D41)), 0))</f>
        <v/>
      </c>
      <c r="I41" s="11">
        <f t="array" ref="I41">INDEX('Dev 조치사항'!$I$6:$I$1004, MATCH(1, ('Dev 조치사항'!$D$6:$D$1004=D41)*('Dev 조치사항'!$K$6:$K$1004=_xlfn.MAXIFS('Dev 조치사항'!$K$6:$K$1004, 'Dev 조치사항'!$D$6:$D$1004, D41)), 0))</f>
        <v/>
      </c>
      <c r="J41" s="16">
        <f t="array" ref="J41">IF(
  INDEX('Dev 조치사항'!$J$6:$J$1004,
    MATCH(1,
      ('Dev 조치사항'!$D$6:$D$1004=D41)*
      ('Dev 조치사항'!$K$6:$K$1004=_xlfn.MAXIFS('Dev 조치사항'!$K$6:$K$1004, 'Dev 조치사항'!$D$6:$D$1004, D41)),
    0)
  ) = "",
  "-",
  INDEX('Dev 조치사항'!$J$6:$J$1004,
    MATCH(1,
      ('Dev 조치사항'!$D$6:$D$1004=D41)*
      ('Dev 조치사항'!$K$6:$K$1004=_xlfn.MAXIFS('Dev 조치사항'!$K$6:$K$1004, 'Dev 조치사항'!$D$6:$D$1004, D41)),
    0)
  )
)</f>
        <v/>
      </c>
      <c r="K41" s="32">
        <f>_xlfn.MAXIFS('Dev 조치사항'!$K$6:$K$1004, 'Dev 조치사항'!$D$6:$D$1004, D41)</f>
        <v/>
      </c>
    </row>
    <row r="42" ht="27" customHeight="1" s="33">
      <c r="A42" s="35" t="n"/>
      <c r="B42" s="34" t="inlineStr">
        <is>
          <t>표준작업</t>
        </is>
      </c>
      <c r="C42" s="34" t="inlineStr">
        <is>
          <t>탭생성/삭제</t>
        </is>
      </c>
      <c r="D42" s="34" t="inlineStr">
        <is>
          <t>AD230_TC_037</t>
        </is>
      </c>
      <c r="E42" s="3" t="inlineStr">
        <is>
          <t>표준작업을 추가하고 삭제한다.</t>
        </is>
      </c>
      <c r="F42" s="4" t="inlineStr">
        <is>
          <t>표준작업 목록의 생성 → 표준작업 Lov에서 선택 → 저장 → 체크 후 삭제</t>
        </is>
      </c>
      <c r="G42" s="3" t="inlineStr">
        <is>
          <t>추가 시 목록에 표시되고, 삭제 시 목록에서 사라짐</t>
        </is>
      </c>
      <c r="H42" s="10">
        <f t="array" ref="H42">INDEX('Dev 조치사항'!$H$6:$H$1004, MATCH(1, ('Dev 조치사항'!$D$6:$D$1004=D42)*('Dev 조치사항'!$K$6:$K$1004=_xlfn.MAXIFS('Dev 조치사항'!$K$6:$K$1004, 'Dev 조치사항'!$D$6:$D$1004, D42)), 0))</f>
        <v/>
      </c>
      <c r="I42" s="11">
        <f t="array" ref="I42">INDEX('Dev 조치사항'!$I$6:$I$1004, MATCH(1, ('Dev 조치사항'!$D$6:$D$1004=D42)*('Dev 조치사항'!$K$6:$K$1004=_xlfn.MAXIFS('Dev 조치사항'!$K$6:$K$1004, 'Dev 조치사항'!$D$6:$D$1004, D42)), 0))</f>
        <v/>
      </c>
      <c r="J42" s="16">
        <f t="array" ref="J42">IF(
  INDEX('Dev 조치사항'!$J$6:$J$1004,
    MATCH(1,
      ('Dev 조치사항'!$D$6:$D$1004=D42)*
      ('Dev 조치사항'!$K$6:$K$1004=_xlfn.MAXIFS('Dev 조치사항'!$K$6:$K$1004, 'Dev 조치사항'!$D$6:$D$1004, D42)),
    0)
  ) = "",
  "-",
  INDEX('Dev 조치사항'!$J$6:$J$1004,
    MATCH(1,
      ('Dev 조치사항'!$D$6:$D$1004=D42)*
      ('Dev 조치사항'!$K$6:$K$1004=_xlfn.MAXIFS('Dev 조치사항'!$K$6:$K$1004, 'Dev 조치사항'!$D$6:$D$1004, D42)),
    0)
  )
)</f>
        <v/>
      </c>
      <c r="K42" s="32">
        <f>_xlfn.MAXIFS('Dev 조치사항'!$K$6:$K$1004, 'Dev 조치사항'!$D$6:$D$1004, D42)</f>
        <v/>
      </c>
    </row>
    <row r="43" ht="27" customHeight="1" s="33">
      <c r="A43" s="35" t="n"/>
      <c r="B43" s="34" t="inlineStr">
        <is>
          <t>점검</t>
        </is>
      </c>
      <c r="C43" s="34" t="inlineStr">
        <is>
          <t>탭생성</t>
        </is>
      </c>
      <c r="D43" s="34" t="inlineStr">
        <is>
          <t>AD230_TC_038</t>
        </is>
      </c>
      <c r="E43" s="3" t="inlineStr">
        <is>
          <t>점검항목을 직접 추가한다.</t>
        </is>
      </c>
      <c r="F43" s="4" t="inlineStr">
        <is>
          <t>점검 목록의 생성 → 점검순서, 부위, 점검항목, 점검방법, 적정기준, 수치/판정 입력 → 저장</t>
        </is>
      </c>
      <c r="G43" s="3" t="inlineStr">
        <is>
          <t>점검항목이 목록에 추가되고 점검순서대로 정렬됨</t>
        </is>
      </c>
      <c r="H43" s="10">
        <f t="array" ref="H43">INDEX('Dev 조치사항'!$H$6:$H$1004, MATCH(1, ('Dev 조치사항'!$D$6:$D$1004=D43)*('Dev 조치사항'!$K$6:$K$1004=_xlfn.MAXIFS('Dev 조치사항'!$K$6:$K$1004, 'Dev 조치사항'!$D$6:$D$1004, D43)), 0))</f>
        <v/>
      </c>
      <c r="I43" s="11">
        <f t="array" ref="I43">INDEX('Dev 조치사항'!$I$6:$I$1004, MATCH(1, ('Dev 조치사항'!$D$6:$D$1004=D43)*('Dev 조치사항'!$K$6:$K$1004=_xlfn.MAXIFS('Dev 조치사항'!$K$6:$K$1004, 'Dev 조치사항'!$D$6:$D$1004, D43)), 0))</f>
        <v/>
      </c>
      <c r="J43" s="16">
        <f t="array" ref="J43">IF(
  INDEX('Dev 조치사항'!$J$6:$J$1004,
    MATCH(1,
      ('Dev 조치사항'!$D$6:$D$1004=D43)*
      ('Dev 조치사항'!$K$6:$K$1004=_xlfn.MAXIFS('Dev 조치사항'!$K$6:$K$1004, 'Dev 조치사항'!$D$6:$D$1004, D43)),
    0)
  ) = "",
  "-",
  INDEX('Dev 조치사항'!$J$6:$J$1004,
    MATCH(1,
      ('Dev 조치사항'!$D$6:$D$1004=D43)*
      ('Dev 조치사항'!$K$6:$K$1004=_xlfn.MAXIFS('Dev 조치사항'!$K$6:$K$1004, 'Dev 조치사항'!$D$6:$D$1004, D43)),
    0)
  )
)</f>
        <v/>
      </c>
      <c r="K43" s="32">
        <f>_xlfn.MAXIFS('Dev 조치사항'!$K$6:$K$1004, 'Dev 조치사항'!$D$6:$D$1004, D43)</f>
        <v/>
      </c>
    </row>
    <row r="44" ht="27" customHeight="1" s="33">
      <c r="A44" s="35" t="n"/>
      <c r="B44" s="35" t="n"/>
      <c r="C44" s="34" t="inlineStr">
        <is>
          <t>표준항목선택</t>
        </is>
      </c>
      <c r="D44" s="34" t="inlineStr">
        <is>
          <t>AD230_TC_039</t>
        </is>
      </c>
      <c r="E44" s="3" t="inlineStr">
        <is>
          <t>표준항목을 선택하여 점검항목을 추가한다.</t>
        </is>
      </c>
      <c r="F44" s="4" t="inlineStr">
        <is>
          <t>표준항목선택 클릭 → 팝업에서 표준점검항목 선택 → 선택</t>
        </is>
      </c>
      <c r="G44" s="3" t="inlineStr">
        <is>
          <t>표준점검항목선택 팝업이 열리고, 선택한 항목이 점검 목록에 추가됨</t>
        </is>
      </c>
      <c r="H44" s="10">
        <f t="array" ref="H44">INDEX('Dev 조치사항'!$H$6:$H$1004, MATCH(1, ('Dev 조치사항'!$D$6:$D$1004=D44)*('Dev 조치사항'!$K$6:$K$1004=_xlfn.MAXIFS('Dev 조치사항'!$K$6:$K$1004, 'Dev 조치사항'!$D$6:$D$1004, D44)), 0))</f>
        <v/>
      </c>
      <c r="I44" s="11">
        <f t="array" ref="I44">INDEX('Dev 조치사항'!$I$6:$I$1004, MATCH(1, ('Dev 조치사항'!$D$6:$D$1004=D44)*('Dev 조치사항'!$K$6:$K$1004=_xlfn.MAXIFS('Dev 조치사항'!$K$6:$K$1004, 'Dev 조치사항'!$D$6:$D$1004, D44)), 0))</f>
        <v/>
      </c>
      <c r="J44" s="16">
        <f t="array" ref="J44">IF(
  INDEX('Dev 조치사항'!$J$6:$J$1004,
    MATCH(1,
      ('Dev 조치사항'!$D$6:$D$1004=D44)*
      ('Dev 조치사항'!$K$6:$K$1004=_xlfn.MAXIFS('Dev 조치사항'!$K$6:$K$1004, 'Dev 조치사항'!$D$6:$D$1004, D44)),
    0)
  ) = "",
  "-",
  INDEX('Dev 조치사항'!$J$6:$J$1004,
    MATCH(1,
      ('Dev 조치사항'!$D$6:$D$1004=D44)*
      ('Dev 조치사항'!$K$6:$K$1004=_xlfn.MAXIFS('Dev 조치사항'!$K$6:$K$1004, 'Dev 조치사항'!$D$6:$D$1004, D44)),
    0)
  )
)</f>
        <v/>
      </c>
      <c r="K44" s="32">
        <f>_xlfn.MAXIFS('Dev 조치사항'!$K$6:$K$1004, 'Dev 조치사항'!$D$6:$D$1004, D44)</f>
        <v/>
      </c>
    </row>
    <row r="45" ht="27" customHeight="1" s="33">
      <c r="A45" s="35" t="n"/>
      <c r="B45" s="35" t="n"/>
      <c r="C45" s="34" t="inlineStr">
        <is>
          <t>탭수정</t>
        </is>
      </c>
      <c r="D45" s="34" t="inlineStr">
        <is>
          <t>AD230_TC_040</t>
        </is>
      </c>
      <c r="E45" s="3" t="inlineStr">
        <is>
          <t>점검항목의 기준값을 수정한다.</t>
        </is>
      </c>
      <c r="F45" s="4" t="inlineStr">
        <is>
          <t>수치형 점검항목 클릭 → 하한값, 기준값, 상한값, 단위 수정 → 저장</t>
        </is>
      </c>
      <c r="G45" s="3" t="inlineStr">
        <is>
          <t>변경 내용이 점검 목록에 반영됨</t>
        </is>
      </c>
      <c r="H45" s="10">
        <f t="array" ref="H45">INDEX('Dev 조치사항'!$H$6:$H$1004, MATCH(1, ('Dev 조치사항'!$D$6:$D$1004=D45)*('Dev 조치사항'!$K$6:$K$1004=_xlfn.MAXIFS('Dev 조치사항'!$K$6:$K$1004, 'Dev 조치사항'!$D$6:$D$1004, D45)), 0))</f>
        <v/>
      </c>
      <c r="I45" s="11">
        <f t="array" ref="I45">INDEX('Dev 조치사항'!$I$6:$I$1004, MATCH(1, ('Dev 조치사항'!$D$6:$D$1004=D45)*('Dev 조치사항'!$K$6:$K$1004=_xlfn.MAXIFS('Dev 조치사항'!$K$6:$K$1004, 'Dev 조치사항'!$D$6:$D$1004, D45)), 0))</f>
        <v/>
      </c>
      <c r="J45" s="16">
        <f t="array" ref="J45">IF(
  INDEX('Dev 조치사항'!$J$6:$J$1004,
    MATCH(1,
      ('Dev 조치사항'!$D$6:$D$1004=D45)*
      ('Dev 조치사항'!$K$6:$K$1004=_xlfn.MAXIFS('Dev 조치사항'!$K$6:$K$1004, 'Dev 조치사항'!$D$6:$D$1004, D45)),
    0)
  ) = "",
  "-",
  INDEX('Dev 조치사항'!$J$6:$J$1004,
    MATCH(1,
      ('Dev 조치사항'!$D$6:$D$1004=D45)*
      ('Dev 조치사항'!$K$6:$K$1004=_xlfn.MAXIFS('Dev 조치사항'!$K$6:$K$1004, 'Dev 조치사항'!$D$6:$D$1004, D45)),
    0)
  )
)</f>
        <v/>
      </c>
      <c r="K45" s="32">
        <f>_xlfn.MAXIFS('Dev 조치사항'!$K$6:$K$1004, 'Dev 조치사항'!$D$6:$D$1004, D45)</f>
        <v/>
      </c>
    </row>
    <row r="46" ht="27" customHeight="1" s="33">
      <c r="A46" s="35" t="n"/>
      <c r="B46" s="36" t="n"/>
      <c r="C46" s="34" t="inlineStr">
        <is>
          <t>탭삭제</t>
        </is>
      </c>
      <c r="D46" s="34" t="inlineStr">
        <is>
          <t>AD230_TC_041</t>
        </is>
      </c>
      <c r="E46" s="3" t="inlineStr">
        <is>
          <t>점검항목을 삭제한다. (체크O / 체크X)</t>
        </is>
      </c>
      <c r="F46" s="4" t="inlineStr">
        <is>
          <t>① 체크 후 삭제 → OK  ② 체크 없이 삭제</t>
        </is>
      </c>
      <c r="G46" s="3" t="inlineStr">
        <is>
          <t>① 선택한 항목만 삭제됨  ② "선택된 데이터가 없습니다" 팝업</t>
        </is>
      </c>
      <c r="H46" s="10">
        <f t="array" ref="H46">INDEX('Dev 조치사항'!$H$6:$H$1004, MATCH(1, ('Dev 조치사항'!$D$6:$D$1004=D46)*('Dev 조치사항'!$K$6:$K$1004=_xlfn.MAXIFS('Dev 조치사항'!$K$6:$K$1004, 'Dev 조치사항'!$D$6:$D$1004, D46)), 0))</f>
        <v/>
      </c>
      <c r="I46" s="11">
        <f t="array" ref="I46">INDEX('Dev 조치사항'!$I$6:$I$1004, MATCH(1, ('Dev 조치사항'!$D$6:$D$1004=D46)*('Dev 조치사항'!$K$6:$K$1004=_xlfn.MAXIFS('Dev 조치사항'!$K$6:$K$1004, 'Dev 조치사항'!$D$6:$D$1004, D46)), 0))</f>
        <v/>
      </c>
      <c r="J46" s="16">
        <f t="array" ref="J46">IF(
  INDEX('Dev 조치사항'!$J$6:$J$1004,
    MATCH(1,
      ('Dev 조치사항'!$D$6:$D$1004=D46)*
      ('Dev 조치사항'!$K$6:$K$1004=_xlfn.MAXIFS('Dev 조치사항'!$K$6:$K$1004, 'Dev 조치사항'!$D$6:$D$1004, D46)),
    0)
  ) = "",
  "-",
  INDEX('Dev 조치사항'!$J$6:$J$1004,
    MATCH(1,
      ('Dev 조치사항'!$D$6:$D$1004=D46)*
      ('Dev 조치사항'!$K$6:$K$1004=_xlfn.MAXIFS('Dev 조치사항'!$K$6:$K$1004, 'Dev 조치사항'!$D$6:$D$1004, D46)),
    0)
  )
)</f>
        <v/>
      </c>
      <c r="K46" s="32">
        <f>_xlfn.MAXIFS('Dev 조치사항'!$K$6:$K$1004, 'Dev 조치사항'!$D$6:$D$1004, D46)</f>
        <v/>
      </c>
    </row>
    <row r="47" ht="27" customHeight="1" s="33">
      <c r="A47" s="36" t="n"/>
      <c r="B47" s="34" t="inlineStr">
        <is>
          <t>첨부문서</t>
        </is>
      </c>
      <c r="C47" s="34" t="inlineStr">
        <is>
          <t>탭생성/삭제</t>
        </is>
      </c>
      <c r="D47" s="34" t="inlineStr">
        <is>
          <t>AD230_TC_042</t>
        </is>
      </c>
      <c r="E47" s="3" t="inlineStr">
        <is>
          <t>첨부문서를 등록하고 삭제한다.</t>
        </is>
      </c>
      <c r="F47" s="4" t="inlineStr">
        <is>
          <t>첨부문서 목록의 생성 → 제목, 문서분류 입력, 파일 첨부 → 저장 → 체크 후 삭제</t>
        </is>
      </c>
      <c r="G47" s="3" t="inlineStr">
        <is>
          <t>등록 시 목록에 표시되고 파일을 내려받을 수 있음, 삭제 시 목록에서 사라짐</t>
        </is>
      </c>
      <c r="H47" s="10">
        <f t="array" ref="H47">INDEX('Dev 조치사항'!$H$6:$H$1004, MATCH(1, ('Dev 조치사항'!$D$6:$D$1004=D47)*('Dev 조치사항'!$K$6:$K$1004=_xlfn.MAXIFS('Dev 조치사항'!$K$6:$K$1004, 'Dev 조치사항'!$D$6:$D$1004, D47)), 0))</f>
        <v/>
      </c>
      <c r="I47" s="11">
        <f t="array" ref="I47">INDEX('Dev 조치사항'!$I$6:$I$1004, MATCH(1, ('Dev 조치사항'!$D$6:$D$1004=D47)*('Dev 조치사항'!$K$6:$K$1004=_xlfn.MAXIFS('Dev 조치사항'!$K$6:$K$1004, 'Dev 조치사항'!$D$6:$D$1004, D47)), 0))</f>
        <v/>
      </c>
      <c r="J47" s="16">
        <f t="array" ref="J47">IF(
  INDEX('Dev 조치사항'!$J$6:$J$1004,
    MATCH(1,
      ('Dev 조치사항'!$D$6:$D$1004=D47)*
      ('Dev 조치사항'!$K$6:$K$1004=_xlfn.MAXIFS('Dev 조치사항'!$K$6:$K$1004, 'Dev 조치사항'!$D$6:$D$1004, D47)),
    0)
  ) = "",
  "-",
  INDEX('Dev 조치사항'!$J$6:$J$1004,
    MATCH(1,
      ('Dev 조치사항'!$D$6:$D$1004=D47)*
      ('Dev 조치사항'!$K$6:$K$1004=_xlfn.MAXIFS('Dev 조치사항'!$K$6:$K$1004, 'Dev 조치사항'!$D$6:$D$1004, D47)),
    0)
  )
)</f>
        <v/>
      </c>
      <c r="K47" s="32">
        <f>_xlfn.MAXIFS('Dev 조치사항'!$K$6:$K$1004, 'Dev 조치사항'!$D$6:$D$1004, D47)</f>
        <v/>
      </c>
    </row>
    <row r="50" ht="54" customHeight="1" s="33">
      <c r="A50" s="0" t="inlineStr">
        <is>
          <t>엣지케이스</t>
        </is>
      </c>
    </row>
    <row r="51" ht="40.5" customHeight="1" s="33">
      <c r="A51" s="20" t="inlineStr">
        <is>
          <t>메뉴명</t>
        </is>
      </c>
      <c r="B51" s="21" t="inlineStr">
        <is>
          <t>탭 명</t>
        </is>
      </c>
      <c r="C51" s="20" t="inlineStr">
        <is>
          <t>기능</t>
        </is>
      </c>
      <c r="D51" s="20" t="inlineStr">
        <is>
          <t>테스트ID</t>
        </is>
      </c>
      <c r="E51" s="20" t="inlineStr">
        <is>
          <t>CASE</t>
        </is>
      </c>
      <c r="F51" s="20" t="inlineStr">
        <is>
          <t>STEP</t>
        </is>
      </c>
      <c r="G51" s="20" t="inlineStr">
        <is>
          <t>테스트 예상 결과</t>
        </is>
      </c>
      <c r="H51" s="22" t="inlineStr">
        <is>
          <t>QA</t>
        </is>
      </c>
      <c r="I51" s="22" t="inlineStr">
        <is>
          <t>QA결과 
(정상/오류)</t>
        </is>
      </c>
      <c r="J51" s="22" t="inlineStr">
        <is>
          <t>QA내용</t>
        </is>
      </c>
      <c r="K51" s="12" t="inlineStr">
        <is>
          <t>QA날짜</t>
        </is>
      </c>
    </row>
    <row r="52" ht="27" customHeight="1" s="33">
      <c r="A52" s="34" t="inlineStr">
        <is>
          <t>정기점검주기_AD230</t>
        </is>
      </c>
      <c r="B52" s="34" t="inlineStr">
        <is>
          <t>설비, 점검</t>
        </is>
      </c>
      <c r="C52" s="34" t="inlineStr">
        <is>
          <t>일정생성</t>
        </is>
      </c>
      <c r="D52" s="34" t="inlineStr">
        <is>
          <t>AD230_EC_001</t>
        </is>
      </c>
      <c r="E52" s="3" t="inlineStr">
        <is>
          <t>UBM(사용달력)으로 일정을 생성한다.
(일정생성방법-UBM, 작업완료시일정재조정-Y)</t>
        </is>
      </c>
      <c r="F52" s="4" t="inlineStr">
        <is>
          <t>1. 생성 → 일정생성방법 UBM, 재조정 Y, 필수값 입력 후 저장 (계획이 2개 이상 생기도록 입력)
2. 일정생성 → OK
3. 정기점검계획에서 마지막을 제외한 계획 하나를 일정확정
4. 정기점검실행에서 작업 완료</t>
        </is>
      </c>
      <c r="G52" s="3" t="inlineStr">
        <is>
          <t>정기점검계획에 계획 생성, 정기점검실행에 작업 생성, 작업완료 후 이후 일정이 완료일 기준으로 재조정됨</t>
        </is>
      </c>
      <c r="H52" s="10">
        <f t="array" ref="H52">INDEX('Dev 조치사항'!$H$6:$H$1004, MATCH(1, ('Dev 조치사항'!$D$6:$D$1004=D52)*('Dev 조치사항'!$K$6:$K$1004=_xlfn.MAXIFS('Dev 조치사항'!$K$6:$K$1004, 'Dev 조치사항'!$D$6:$D$1004, D52)), 0))</f>
        <v/>
      </c>
      <c r="I52" s="11">
        <f t="array" ref="I52">INDEX('Dev 조치사항'!$I$6:$I$1004, MATCH(1, ('Dev 조치사항'!$D$6:$D$1004=D52)*('Dev 조치사항'!$K$6:$K$1004=_xlfn.MAXIFS('Dev 조치사항'!$K$6:$K$1004, 'Dev 조치사항'!$D$6:$D$1004, D52)), 0))</f>
        <v/>
      </c>
      <c r="J52" s="16">
        <f t="array" ref="J52">IF(
  INDEX('Dev 조치사항'!$J$6:$J$1004,
    MATCH(1,
      ('Dev 조치사항'!$D$6:$D$1004=D52)*
      ('Dev 조치사항'!$K$6:$K$1004=_xlfn.MAXIFS('Dev 조치사항'!$K$6:$K$1004, 'Dev 조치사항'!$D$6:$D$1004, D52)),
    0)
  ) = "",
  "-",
  INDEX('Dev 조치사항'!$J$6:$J$1004,
    MATCH(1,
      ('Dev 조치사항'!$D$6:$D$1004=D52)*
      ('Dev 조치사항'!$K$6:$K$1004=_xlfn.MAXIFS('Dev 조치사항'!$K$6:$K$1004, 'Dev 조치사항'!$D$6:$D$1004, D52)),
    0)
  )
)</f>
        <v/>
      </c>
      <c r="K52" s="32">
        <f>_xlfn.MAXIFS('Dev 조치사항'!$K$6:$K$1004, 'Dev 조치사항'!$D$6:$D$1004, D52)</f>
        <v/>
      </c>
    </row>
    <row r="53" ht="27" customHeight="1" s="33">
      <c r="A53" s="35" t="n"/>
      <c r="B53" s="35" t="n"/>
      <c r="C53" s="34" t="inlineStr">
        <is>
          <t>일정생성</t>
        </is>
      </c>
      <c r="D53" s="34" t="inlineStr">
        <is>
          <t>AD230_EC_002</t>
        </is>
      </c>
      <c r="E53" s="3" t="inlineStr">
        <is>
          <t>UBM(사용달력)으로 일정을 생성한다.
(일정생성방법-UBM, 작업완료시일정재조정-N)</t>
        </is>
      </c>
      <c r="F53" s="4" t="inlineStr">
        <is>
          <t>EC_001 과 같은 절차, 재조정 N</t>
        </is>
      </c>
      <c r="G53" s="3" t="inlineStr">
        <is>
          <t>작업완료 후에도 이후 일정이 바뀌지 않음</t>
        </is>
      </c>
      <c r="H53" s="10">
        <f t="array" ref="H53">INDEX('Dev 조치사항'!$H$6:$H$1004, MATCH(1, ('Dev 조치사항'!$D$6:$D$1004=D53)*('Dev 조치사항'!$K$6:$K$1004=_xlfn.MAXIFS('Dev 조치사항'!$K$6:$K$1004, 'Dev 조치사항'!$D$6:$D$1004, D53)), 0))</f>
        <v/>
      </c>
      <c r="I53" s="11">
        <f t="array" ref="I53">INDEX('Dev 조치사항'!$I$6:$I$1004, MATCH(1, ('Dev 조치사항'!$D$6:$D$1004=D53)*('Dev 조치사항'!$K$6:$K$1004=_xlfn.MAXIFS('Dev 조치사항'!$K$6:$K$1004, 'Dev 조치사항'!$D$6:$D$1004, D53)), 0))</f>
        <v/>
      </c>
      <c r="J53" s="16">
        <f t="array" ref="J53">IF(
  INDEX('Dev 조치사항'!$J$6:$J$1004,
    MATCH(1,
      ('Dev 조치사항'!$D$6:$D$1004=D53)*
      ('Dev 조치사항'!$K$6:$K$1004=_xlfn.MAXIFS('Dev 조치사항'!$K$6:$K$1004, 'Dev 조치사항'!$D$6:$D$1004, D53)),
    0)
  ) = "",
  "-",
  INDEX('Dev 조치사항'!$J$6:$J$1004,
    MATCH(1,
      ('Dev 조치사항'!$D$6:$D$1004=D53)*
      ('Dev 조치사항'!$K$6:$K$1004=_xlfn.MAXIFS('Dev 조치사항'!$K$6:$K$1004, 'Dev 조치사항'!$D$6:$D$1004, D53)),
    0)
  )
)</f>
        <v/>
      </c>
      <c r="K53" s="32">
        <f>_xlfn.MAXIFS('Dev 조치사항'!$K$6:$K$1004, 'Dev 조치사항'!$D$6:$D$1004, D53)</f>
        <v/>
      </c>
    </row>
    <row r="54" ht="27" customHeight="1" s="33">
      <c r="A54" s="35" t="n"/>
      <c r="B54" s="35" t="n"/>
      <c r="C54" s="35" t="n"/>
      <c r="D54" s="34" t="inlineStr">
        <is>
          <t>AD230_EC_003</t>
        </is>
      </c>
      <c r="E54" s="3" t="inlineStr">
        <is>
          <t>RBM(가동달력)으로 일정을 생성한다.
(일정생성방법-RBM, 작업완료시일정재조정-Y)</t>
        </is>
      </c>
      <c r="F54" s="4" t="inlineStr">
        <is>
          <t>EC_001 과 같은 절차, 일정생성방법 RBM, 재조정 Y</t>
        </is>
      </c>
      <c r="G54" s="3" t="inlineStr">
        <is>
          <t>가동달력 기준으로 계획 생성, 작업완료 후 이후 일정 재조정됨</t>
        </is>
      </c>
      <c r="H54" s="10">
        <f t="array" ref="H54">INDEX('Dev 조치사항'!$H$6:$H$1004, MATCH(1, ('Dev 조치사항'!$D$6:$D$1004=D54)*('Dev 조치사항'!$K$6:$K$1004=_xlfn.MAXIFS('Dev 조치사항'!$K$6:$K$1004, 'Dev 조치사항'!$D$6:$D$1004, D54)), 0))</f>
        <v/>
      </c>
      <c r="I54" s="11">
        <f t="array" ref="I54">INDEX('Dev 조치사항'!$I$6:$I$1004, MATCH(1, ('Dev 조치사항'!$D$6:$D$1004=D54)*('Dev 조치사항'!$K$6:$K$1004=_xlfn.MAXIFS('Dev 조치사항'!$K$6:$K$1004, 'Dev 조치사항'!$D$6:$D$1004, D54)), 0))</f>
        <v/>
      </c>
      <c r="J54" s="16">
        <f t="array" ref="J54">IF(
  INDEX('Dev 조치사항'!$J$6:$J$1004,
    MATCH(1,
      ('Dev 조치사항'!$D$6:$D$1004=D54)*
      ('Dev 조치사항'!$K$6:$K$1004=_xlfn.MAXIFS('Dev 조치사항'!$K$6:$K$1004, 'Dev 조치사항'!$D$6:$D$1004, D54)),
    0)
  ) = "",
  "-",
  INDEX('Dev 조치사항'!$J$6:$J$1004,
    MATCH(1,
      ('Dev 조치사항'!$D$6:$D$1004=D54)*
      ('Dev 조치사항'!$K$6:$K$1004=_xlfn.MAXIFS('Dev 조치사항'!$K$6:$K$1004, 'Dev 조치사항'!$D$6:$D$1004, D54)),
    0)
  )
)</f>
        <v/>
      </c>
      <c r="K54" s="32">
        <f>_xlfn.MAXIFS('Dev 조치사항'!$K$6:$K$1004, 'Dev 조치사항'!$D$6:$D$1004, D54)</f>
        <v/>
      </c>
    </row>
    <row r="55" ht="27" customHeight="1" s="33">
      <c r="A55" s="35" t="n"/>
      <c r="B55" s="35" t="n"/>
      <c r="C55" s="35" t="n"/>
      <c r="D55" s="34" t="inlineStr">
        <is>
          <t>AD230_EC_004</t>
        </is>
      </c>
      <c r="E55" s="3" t="inlineStr">
        <is>
          <t>RBM(가동달력)으로 일정을 생성한다.
(일정생성방법-RBM, 작업완료시일정재조정-N)</t>
        </is>
      </c>
      <c r="F55" s="4" t="inlineStr">
        <is>
          <t>EC_003 과 같은 절차, 재조정 N</t>
        </is>
      </c>
      <c r="G55" s="3" t="inlineStr">
        <is>
          <t>작업완료 후에도 이후 일정이 바뀌지 않음</t>
        </is>
      </c>
      <c r="H55" s="10">
        <f t="array" ref="H55">INDEX('Dev 조치사항'!$H$6:$H$1004, MATCH(1, ('Dev 조치사항'!$D$6:$D$1004=D55)*('Dev 조치사항'!$K$6:$K$1004=_xlfn.MAXIFS('Dev 조치사항'!$K$6:$K$1004, 'Dev 조치사항'!$D$6:$D$1004, D55)), 0))</f>
        <v/>
      </c>
      <c r="I55" s="11">
        <f t="array" ref="I55">INDEX('Dev 조치사항'!$I$6:$I$1004, MATCH(1, ('Dev 조치사항'!$D$6:$D$1004=D55)*('Dev 조치사항'!$K$6:$K$1004=_xlfn.MAXIFS('Dev 조치사항'!$K$6:$K$1004, 'Dev 조치사항'!$D$6:$D$1004, D55)), 0))</f>
        <v/>
      </c>
      <c r="J55" s="16">
        <f t="array" ref="J55">IF(
  INDEX('Dev 조치사항'!$J$6:$J$1004,
    MATCH(1,
      ('Dev 조치사항'!$D$6:$D$1004=D55)*
      ('Dev 조치사항'!$K$6:$K$1004=_xlfn.MAXIFS('Dev 조치사항'!$K$6:$K$1004, 'Dev 조치사항'!$D$6:$D$1004, D55)),
    0)
  ) = "",
  "-",
  INDEX('Dev 조치사항'!$J$6:$J$1004,
    MATCH(1,
      ('Dev 조치사항'!$D$6:$D$1004=D55)*
      ('Dev 조치사항'!$K$6:$K$1004=_xlfn.MAXIFS('Dev 조치사항'!$K$6:$K$1004, 'Dev 조치사항'!$D$6:$D$1004, D55)),
    0)
  )
)</f>
        <v/>
      </c>
      <c r="K55" s="32">
        <f>_xlfn.MAXIFS('Dev 조치사항'!$K$6:$K$1004, 'Dev 조치사항'!$D$6:$D$1004, D55)</f>
        <v/>
      </c>
    </row>
    <row r="56" ht="17.45" customHeight="1" s="33">
      <c r="A56" s="35" t="n"/>
      <c r="B56" s="36" t="n"/>
      <c r="C56" s="36" t="n"/>
      <c r="D56" s="34" t="inlineStr">
        <is>
          <t>AD230_EC_005</t>
        </is>
      </c>
      <c r="E56" s="3" t="inlineStr">
        <is>
          <t>TBM 일정 재조정을 확인한다.
(TBM, 월 주기, 작업완료시일정재조정-Y)</t>
        </is>
      </c>
      <c r="F56" s="4" t="inlineStr">
        <is>
          <t>1. TBM, 1 월 주기, 재조정 Y 로 저장 후 일정생성
2. 첫 작업을 예정일보다 늦게 완료</t>
        </is>
      </c>
      <c r="G56" s="3" t="inlineStr">
        <is>
          <t>이후 일정이 실제 완료일 기준 1개월 간격으로 재조정됨</t>
        </is>
      </c>
      <c r="H56" s="10">
        <f t="array" ref="H56">INDEX('Dev 조치사항'!$H$6:$H$1004, MATCH(1, ('Dev 조치사항'!$D$6:$D$1004=D56)*('Dev 조치사항'!$K$6:$K$1004=_xlfn.MAXIFS('Dev 조치사항'!$K$6:$K$1004, 'Dev 조치사항'!$D$6:$D$1004, D56)), 0))</f>
        <v/>
      </c>
      <c r="I56" s="11">
        <f t="array" ref="I56">INDEX('Dev 조치사항'!$I$6:$I$1004, MATCH(1, ('Dev 조치사항'!$D$6:$D$1004=D56)*('Dev 조치사항'!$K$6:$K$1004=_xlfn.MAXIFS('Dev 조치사항'!$K$6:$K$1004, 'Dev 조치사항'!$D$6:$D$1004, D56)), 0))</f>
        <v/>
      </c>
      <c r="J56" s="16">
        <f t="array" ref="J56">IF(
  INDEX('Dev 조치사항'!$J$6:$J$1004,
    MATCH(1,
      ('Dev 조치사항'!$D$6:$D$1004=D56)*
      ('Dev 조치사항'!$K$6:$K$1004=_xlfn.MAXIFS('Dev 조치사항'!$K$6:$K$1004, 'Dev 조치사항'!$D$6:$D$1004, D56)),
    0)
  ) = "",
  "-",
  INDEX('Dev 조치사항'!$J$6:$J$1004,
    MATCH(1,
      ('Dev 조치사항'!$D$6:$D$1004=D56)*
      ('Dev 조치사항'!$K$6:$K$1004=_xlfn.MAXIFS('Dev 조치사항'!$K$6:$K$1004, 'Dev 조치사항'!$D$6:$D$1004, D56)),
    0)
  )
)</f>
        <v/>
      </c>
      <c r="K56" s="32">
        <f>_xlfn.MAXIFS('Dev 조치사항'!$K$6:$K$1004, 'Dev 조치사항'!$D$6:$D$1004, D56)</f>
        <v/>
      </c>
    </row>
    <row r="57" ht="27" customHeight="1" s="33">
      <c r="A57" s="35" t="n"/>
      <c r="B57" s="34" t="inlineStr">
        <is>
          <t>설비</t>
        </is>
      </c>
      <c r="C57" s="34" t="inlineStr">
        <is>
          <t>일정생성</t>
        </is>
      </c>
      <c r="D57" s="34" t="inlineStr">
        <is>
          <t>AD230_EC_006</t>
        </is>
      </c>
      <c r="E57" s="3" t="inlineStr">
        <is>
          <t>주기구분별 일정 간격을 확인한다.</t>
        </is>
      </c>
      <c r="F57" s="4" t="inlineStr">
        <is>
          <t>같은 설비로 일 / 주 / 월 / 년 주기를 각각 저장 후 일정생성</t>
        </is>
      </c>
      <c r="G57" s="3" t="inlineStr">
        <is>
          <t>각 계획의 간격이 주기 숫자 × 주기구분과 정확히 일치함</t>
        </is>
      </c>
      <c r="H57" s="10">
        <f t="array" ref="H57">INDEX('Dev 조치사항'!$H$6:$H$1004, MATCH(1, ('Dev 조치사항'!$D$6:$D$1004=D57)*('Dev 조치사항'!$K$6:$K$1004=_xlfn.MAXIFS('Dev 조치사항'!$K$6:$K$1004, 'Dev 조치사항'!$D$6:$D$1004, D57)), 0))</f>
        <v/>
      </c>
      <c r="I57" s="11">
        <f t="array" ref="I57">INDEX('Dev 조치사항'!$I$6:$I$1004, MATCH(1, ('Dev 조치사항'!$D$6:$D$1004=D57)*('Dev 조치사항'!$K$6:$K$1004=_xlfn.MAXIFS('Dev 조치사항'!$K$6:$K$1004, 'Dev 조치사항'!$D$6:$D$1004, D57)), 0))</f>
        <v/>
      </c>
      <c r="J57" s="16">
        <f t="array" ref="J57">IF(
  INDEX('Dev 조치사항'!$J$6:$J$1004,
    MATCH(1,
      ('Dev 조치사항'!$D$6:$D$1004=D57)*
      ('Dev 조치사항'!$K$6:$K$1004=_xlfn.MAXIFS('Dev 조치사항'!$K$6:$K$1004, 'Dev 조치사항'!$D$6:$D$1004, D57)),
    0)
  ) = "",
  "-",
  INDEX('Dev 조치사항'!$J$6:$J$1004,
    MATCH(1,
      ('Dev 조치사항'!$D$6:$D$1004=D57)*
      ('Dev 조치사항'!$K$6:$K$1004=_xlfn.MAXIFS('Dev 조치사항'!$K$6:$K$1004, 'Dev 조치사항'!$D$6:$D$1004, D57)),
    0)
  )
)</f>
        <v/>
      </c>
      <c r="K57" s="32">
        <f>_xlfn.MAXIFS('Dev 조치사항'!$K$6:$K$1004, 'Dev 조치사항'!$D$6:$D$1004, D57)</f>
        <v/>
      </c>
    </row>
    <row r="58" ht="27" customHeight="1" s="33">
      <c r="A58" s="35" t="n"/>
      <c r="B58" s="35" t="n"/>
      <c r="C58" s="34" t="inlineStr">
        <is>
          <t>일정생성</t>
        </is>
      </c>
      <c r="D58" s="34" t="inlineStr">
        <is>
          <t>AD230_EC_007</t>
        </is>
      </c>
      <c r="E58" s="3" t="inlineStr">
        <is>
          <t>월말 시작일의 월 주기 일정을 확인한다.</t>
        </is>
      </c>
      <c r="F58" s="4" t="inlineStr">
        <is>
          <t>최초작업예정일 1월 31일, 1 월 주기로 일정생성</t>
        </is>
      </c>
      <c r="G58" s="3" t="inlineStr">
        <is>
          <t>2월은 말일(28/29일)로 생성되고 날짜가 3월로 넘어가거나 누락되지 않음</t>
        </is>
      </c>
      <c r="H58" s="10">
        <f t="array" ref="H58">INDEX('Dev 조치사항'!$H$6:$H$1004, MATCH(1, ('Dev 조치사항'!$D$6:$D$1004=D58)*('Dev 조치사항'!$K$6:$K$1004=_xlfn.MAXIFS('Dev 조치사항'!$K$6:$K$1004, 'Dev 조치사항'!$D$6:$D$1004, D58)), 0))</f>
        <v/>
      </c>
      <c r="I58" s="11">
        <f t="array" ref="I58">INDEX('Dev 조치사항'!$I$6:$I$1004, MATCH(1, ('Dev 조치사항'!$D$6:$D$1004=D58)*('Dev 조치사항'!$K$6:$K$1004=_xlfn.MAXIFS('Dev 조치사항'!$K$6:$K$1004, 'Dev 조치사항'!$D$6:$D$1004, D58)), 0))</f>
        <v/>
      </c>
      <c r="J58" s="16">
        <f t="array" ref="J58">IF(
  INDEX('Dev 조치사항'!$J$6:$J$1004,
    MATCH(1,
      ('Dev 조치사항'!$D$6:$D$1004=D58)*
      ('Dev 조치사항'!$K$6:$K$1004=_xlfn.MAXIFS('Dev 조치사항'!$K$6:$K$1004, 'Dev 조치사항'!$D$6:$D$1004, D58)),
    0)
  ) = "",
  "-",
  INDEX('Dev 조치사항'!$J$6:$J$1004,
    MATCH(1,
      ('Dev 조치사항'!$D$6:$D$1004=D58)*
      ('Dev 조치사항'!$K$6:$K$1004=_xlfn.MAXIFS('Dev 조치사항'!$K$6:$K$1004, 'Dev 조치사항'!$D$6:$D$1004, D58)),
    0)
  )
)</f>
        <v/>
      </c>
      <c r="K58" s="32">
        <f>_xlfn.MAXIFS('Dev 조치사항'!$K$6:$K$1004, 'Dev 조치사항'!$D$6:$D$1004, D58)</f>
        <v/>
      </c>
    </row>
    <row r="59" ht="27" customHeight="1" s="33">
      <c r="A59" s="35" t="n"/>
      <c r="B59" s="35" t="n"/>
      <c r="C59" s="35" t="n"/>
      <c r="D59" s="34" t="inlineStr">
        <is>
          <t>AD230_EC_008</t>
        </is>
      </c>
      <c r="E59" s="3" t="inlineStr">
        <is>
          <t>시행여부 N 의 일정생성을 확인한다.</t>
        </is>
      </c>
      <c r="F59" s="4" t="inlineStr">
        <is>
          <t>① 정기점검주기 시행여부 N 으로 일정생성  ② 설비 행만 시행여부 N 으로 일정생성</t>
        </is>
      </c>
      <c r="G59" s="3" t="inlineStr">
        <is>
          <t>시행여부 N 인 대상은 계획이 생성되지 않음</t>
        </is>
      </c>
      <c r="H59" s="10">
        <f t="array" ref="H59">INDEX('Dev 조치사항'!$H$6:$H$1004, MATCH(1, ('Dev 조치사항'!$D$6:$D$1004=D59)*('Dev 조치사항'!$K$6:$K$1004=_xlfn.MAXIFS('Dev 조치사항'!$K$6:$K$1004, 'Dev 조치사항'!$D$6:$D$1004, D59)), 0))</f>
        <v/>
      </c>
      <c r="I59" s="11">
        <f t="array" ref="I59">INDEX('Dev 조치사항'!$I$6:$I$1004, MATCH(1, ('Dev 조치사항'!$D$6:$D$1004=D59)*('Dev 조치사항'!$K$6:$K$1004=_xlfn.MAXIFS('Dev 조치사항'!$K$6:$K$1004, 'Dev 조치사항'!$D$6:$D$1004, D59)), 0))</f>
        <v/>
      </c>
      <c r="J59" s="16">
        <f t="array" ref="J59">IF(
  INDEX('Dev 조치사항'!$J$6:$J$1004,
    MATCH(1,
      ('Dev 조치사항'!$D$6:$D$1004=D59)*
      ('Dev 조치사항'!$K$6:$K$1004=_xlfn.MAXIFS('Dev 조치사항'!$K$6:$K$1004, 'Dev 조치사항'!$D$6:$D$1004, D59)),
    0)
  ) = "",
  "-",
  INDEX('Dev 조치사항'!$J$6:$J$1004,
    MATCH(1,
      ('Dev 조치사항'!$D$6:$D$1004=D59)*
      ('Dev 조치사항'!$K$6:$K$1004=_xlfn.MAXIFS('Dev 조치사항'!$K$6:$K$1004, 'Dev 조치사항'!$D$6:$D$1004, D59)),
    0)
  )
)</f>
        <v/>
      </c>
      <c r="K59" s="32">
        <f>_xlfn.MAXIFS('Dev 조치사항'!$K$6:$K$1004, 'Dev 조치사항'!$D$6:$D$1004, D59)</f>
        <v/>
      </c>
    </row>
    <row r="60" ht="27" customHeight="1" s="33">
      <c r="A60" s="35" t="n"/>
      <c r="B60" s="35" t="n"/>
      <c r="C60" s="35" t="n"/>
      <c r="D60" s="34" t="inlineStr">
        <is>
          <t>AD230_EC_009</t>
        </is>
      </c>
      <c r="E60" s="3" t="inlineStr">
        <is>
          <t>일정생성을 두 번 실행한다.</t>
        </is>
      </c>
      <c r="F60" s="4" t="inlineStr">
        <is>
          <t>같은 정기점검주기에서 일정생성 → OK 를 2회 실행</t>
        </is>
      </c>
      <c r="G60" s="3" t="inlineStr">
        <is>
          <t>같은 날짜의 계획이 중복 생성되지 않음</t>
        </is>
      </c>
      <c r="H60" s="10">
        <f t="array" ref="H60">INDEX('Dev 조치사항'!$H$6:$H$1004, MATCH(1, ('Dev 조치사항'!$D$6:$D$1004=D60)*('Dev 조치사항'!$K$6:$K$1004=_xlfn.MAXIFS('Dev 조치사항'!$K$6:$K$1004, 'Dev 조치사항'!$D$6:$D$1004, D60)), 0))</f>
        <v/>
      </c>
      <c r="I60" s="11">
        <f t="array" ref="I60">INDEX('Dev 조치사항'!$I$6:$I$1004, MATCH(1, ('Dev 조치사항'!$D$6:$D$1004=D60)*('Dev 조치사항'!$K$6:$K$1004=_xlfn.MAXIFS('Dev 조치사항'!$K$6:$K$1004, 'Dev 조치사항'!$D$6:$D$1004, D60)), 0))</f>
        <v/>
      </c>
      <c r="J60" s="16">
        <f t="array" ref="J60">IF(
  INDEX('Dev 조치사항'!$J$6:$J$1004,
    MATCH(1,
      ('Dev 조치사항'!$D$6:$D$1004=D60)*
      ('Dev 조치사항'!$K$6:$K$1004=_xlfn.MAXIFS('Dev 조치사항'!$K$6:$K$1004, 'Dev 조치사항'!$D$6:$D$1004, D60)),
    0)
  ) = "",
  "-",
  INDEX('Dev 조치사항'!$J$6:$J$1004,
    MATCH(1,
      ('Dev 조치사항'!$D$6:$D$1004=D60)*
      ('Dev 조치사항'!$K$6:$K$1004=_xlfn.MAXIFS('Dev 조치사항'!$K$6:$K$1004, 'Dev 조치사항'!$D$6:$D$1004, D60)),
    0)
  )
)</f>
        <v/>
      </c>
      <c r="K60" s="32">
        <f>_xlfn.MAXIFS('Dev 조치사항'!$K$6:$K$1004, 'Dev 조치사항'!$D$6:$D$1004, D60)</f>
        <v/>
      </c>
    </row>
    <row r="61" ht="27" customHeight="1" s="33">
      <c r="A61" s="35" t="n"/>
      <c r="B61" s="36" t="n"/>
      <c r="C61" s="36" t="n"/>
      <c r="D61" s="34" t="inlineStr">
        <is>
          <t>AD230_EC_010</t>
        </is>
      </c>
      <c r="E61" s="3" t="inlineStr">
        <is>
          <t>설비가 여러 대인 주기의 일정을 생성한다.</t>
        </is>
      </c>
      <c r="F61" s="4" t="inlineStr">
        <is>
          <t>설비 2대(최초작업예정일 서로 다르게) 추가 후 일정생성</t>
        </is>
      </c>
      <c r="G61" s="3" t="inlineStr">
        <is>
          <t>설비별로 각자의 최초작업예정일 기준 계획이 생성됨</t>
        </is>
      </c>
      <c r="H61" s="10">
        <f t="array" ref="H61">INDEX('Dev 조치사항'!$H$6:$H$1004, MATCH(1, ('Dev 조치사항'!$D$6:$D$1004=D61)*('Dev 조치사항'!$K$6:$K$1004=_xlfn.MAXIFS('Dev 조치사항'!$K$6:$K$1004, 'Dev 조치사항'!$D$6:$D$1004, D61)), 0))</f>
        <v/>
      </c>
      <c r="I61" s="11">
        <f t="array" ref="I61">INDEX('Dev 조치사항'!$I$6:$I$1004, MATCH(1, ('Dev 조치사항'!$D$6:$D$1004=D61)*('Dev 조치사항'!$K$6:$K$1004=_xlfn.MAXIFS('Dev 조치사항'!$K$6:$K$1004, 'Dev 조치사항'!$D$6:$D$1004, D61)), 0))</f>
        <v/>
      </c>
      <c r="J61" s="16">
        <f t="array" ref="J61">IF(
  INDEX('Dev 조치사항'!$J$6:$J$1004,
    MATCH(1,
      ('Dev 조치사항'!$D$6:$D$1004=D61)*
      ('Dev 조치사항'!$K$6:$K$1004=_xlfn.MAXIFS('Dev 조치사항'!$K$6:$K$1004, 'Dev 조치사항'!$D$6:$D$1004, D61)),
    0)
  ) = "",
  "-",
  INDEX('Dev 조치사항'!$J$6:$J$1004,
    MATCH(1,
      ('Dev 조치사항'!$D$6:$D$1004=D61)*
      ('Dev 조치사항'!$K$6:$K$1004=_xlfn.MAXIFS('Dev 조치사항'!$K$6:$K$1004, 'Dev 조치사항'!$D$6:$D$1004, D61)),
    0)
  )
)</f>
        <v/>
      </c>
      <c r="K61" s="32">
        <f>_xlfn.MAXIFS('Dev 조치사항'!$K$6:$K$1004, 'Dev 조치사항'!$D$6:$D$1004, D61)</f>
        <v/>
      </c>
    </row>
    <row r="62" ht="27" customHeight="1" s="33">
      <c r="A62" s="35" t="n"/>
      <c r="B62" s="34" t="inlineStr">
        <is>
          <t>공통</t>
        </is>
      </c>
      <c r="C62" s="34" t="inlineStr">
        <is>
          <t>입력검증</t>
        </is>
      </c>
      <c r="D62" s="34" t="inlineStr">
        <is>
          <t>AD230_EC_011</t>
        </is>
      </c>
      <c r="E62" s="3" t="inlineStr">
        <is>
          <t>주기에 잘못된 값을 넣는다.</t>
        </is>
      </c>
      <c r="F62" s="4" t="inlineStr">
        <is>
          <t>주기에 0, 음수, 소수, 문자 입력 후 저장</t>
        </is>
      </c>
      <c r="G62" s="3" t="inlineStr">
        <is>
          <t>입력이 막히거나 오류 팝업, 저장되지 않음</t>
        </is>
      </c>
      <c r="H62" s="10">
        <f t="array" ref="H62">INDEX('Dev 조치사항'!$H$6:$H$1004, MATCH(1, ('Dev 조치사항'!$D$6:$D$1004=D62)*('Dev 조치사항'!$K$6:$K$1004=_xlfn.MAXIFS('Dev 조치사항'!$K$6:$K$1004, 'Dev 조치사항'!$D$6:$D$1004, D62)), 0))</f>
        <v/>
      </c>
      <c r="I62" s="11">
        <f t="array" ref="I62">INDEX('Dev 조치사항'!$I$6:$I$1004, MATCH(1, ('Dev 조치사항'!$D$6:$D$1004=D62)*('Dev 조치사항'!$K$6:$K$1004=_xlfn.MAXIFS('Dev 조치사항'!$K$6:$K$1004, 'Dev 조치사항'!$D$6:$D$1004, D62)), 0))</f>
        <v/>
      </c>
      <c r="J62" s="16">
        <f t="array" ref="J62">IF(
  INDEX('Dev 조치사항'!$J$6:$J$1004,
    MATCH(1,
      ('Dev 조치사항'!$D$6:$D$1004=D62)*
      ('Dev 조치사항'!$K$6:$K$1004=_xlfn.MAXIFS('Dev 조치사항'!$K$6:$K$1004, 'Dev 조치사항'!$D$6:$D$1004, D62)),
    0)
  ) = "",
  "-",
  INDEX('Dev 조치사항'!$J$6:$J$1004,
    MATCH(1,
      ('Dev 조치사항'!$D$6:$D$1004=D62)*
      ('Dev 조치사항'!$K$6:$K$1004=_xlfn.MAXIFS('Dev 조치사항'!$K$6:$K$1004, 'Dev 조치사항'!$D$6:$D$1004, D62)),
    0)
  )
)</f>
        <v/>
      </c>
      <c r="K62" s="32">
        <f>_xlfn.MAXIFS('Dev 조치사항'!$K$6:$K$1004, 'Dev 조치사항'!$D$6:$D$1004, D62)</f>
        <v/>
      </c>
    </row>
    <row r="63" ht="27" customHeight="1" s="33">
      <c r="A63" s="35" t="n"/>
      <c r="B63" s="35" t="n"/>
      <c r="C63" s="34" t="inlineStr">
        <is>
          <t>입력검증</t>
        </is>
      </c>
      <c r="D63" s="34" t="inlineStr">
        <is>
          <t>AD230_EC_012</t>
        </is>
      </c>
      <c r="E63" s="3" t="inlineStr">
        <is>
          <t>몇일전 일정생성? 경계값을 확인한다.</t>
        </is>
      </c>
      <c r="F63" s="4" t="inlineStr">
        <is>
          <t>몇일전 일정생성? 에 0, 주기보다 큰 값(예: 1 주 주기에 30) 입력 후 저장·일정생성</t>
        </is>
      </c>
      <c r="G63" s="3" t="inlineStr">
        <is>
          <t>허용 범위가 아니면 막히고, 허용되면 그 값만큼 앞서 일정이 생성됨</t>
        </is>
      </c>
      <c r="H63" s="10">
        <f t="array" ref="H63">INDEX('Dev 조치사항'!$H$6:$H$1004, MATCH(1, ('Dev 조치사항'!$D$6:$D$1004=D63)*('Dev 조치사항'!$K$6:$K$1004=_xlfn.MAXIFS('Dev 조치사항'!$K$6:$K$1004, 'Dev 조치사항'!$D$6:$D$1004, D63)), 0))</f>
        <v/>
      </c>
      <c r="I63" s="11">
        <f t="array" ref="I63">INDEX('Dev 조치사항'!$I$6:$I$1004, MATCH(1, ('Dev 조치사항'!$D$6:$D$1004=D63)*('Dev 조치사항'!$K$6:$K$1004=_xlfn.MAXIFS('Dev 조치사항'!$K$6:$K$1004, 'Dev 조치사항'!$D$6:$D$1004, D63)), 0))</f>
        <v/>
      </c>
      <c r="J63" s="16">
        <f t="array" ref="J63">IF(
  INDEX('Dev 조치사항'!$J$6:$J$1004,
    MATCH(1,
      ('Dev 조치사항'!$D$6:$D$1004=D63)*
      ('Dev 조치사항'!$K$6:$K$1004=_xlfn.MAXIFS('Dev 조치사항'!$K$6:$K$1004, 'Dev 조치사항'!$D$6:$D$1004, D63)),
    0)
  ) = "",
  "-",
  INDEX('Dev 조치사항'!$J$6:$J$1004,
    MATCH(1,
      ('Dev 조치사항'!$D$6:$D$1004=D63)*
      ('Dev 조치사항'!$K$6:$K$1004=_xlfn.MAXIFS('Dev 조치사항'!$K$6:$K$1004, 'Dev 조치사항'!$D$6:$D$1004, D63)),
    0)
  )
)</f>
        <v/>
      </c>
      <c r="K63" s="32">
        <f>_xlfn.MAXIFS('Dev 조치사항'!$K$6:$K$1004, 'Dev 조치사항'!$D$6:$D$1004, D63)</f>
        <v/>
      </c>
    </row>
    <row r="64" ht="27" customHeight="1" s="33">
      <c r="A64" s="35" t="n"/>
      <c r="B64" s="36" t="n"/>
      <c r="C64" s="36" t="n"/>
      <c r="D64" s="34" t="inlineStr">
        <is>
          <t>AD230_EC_013</t>
        </is>
      </c>
      <c r="E64" s="3" t="inlineStr">
        <is>
          <t>작업명 최대 길이와 특수문자를 확인한다.</t>
        </is>
      </c>
      <c r="F64" s="4" t="inlineStr">
        <is>
          <t>작업명에 최대 길이 초과 문자열, 특수문자(' " &lt; &gt; &amp;) 입력 후 저장</t>
        </is>
      </c>
      <c r="G64" s="3" t="inlineStr">
        <is>
          <t>최대 길이 초과는 막히고, 특수문자는 깨지지 않고 저장·표시됨</t>
        </is>
      </c>
      <c r="H64" s="10">
        <f t="array" ref="H64">INDEX('Dev 조치사항'!$H$6:$H$1004, MATCH(1, ('Dev 조치사항'!$D$6:$D$1004=D64)*('Dev 조치사항'!$K$6:$K$1004=_xlfn.MAXIFS('Dev 조치사항'!$K$6:$K$1004, 'Dev 조치사항'!$D$6:$D$1004, D64)), 0))</f>
        <v/>
      </c>
      <c r="I64" s="11">
        <f t="array" ref="I64">INDEX('Dev 조치사항'!$I$6:$I$1004, MATCH(1, ('Dev 조치사항'!$D$6:$D$1004=D64)*('Dev 조치사항'!$K$6:$K$1004=_xlfn.MAXIFS('Dev 조치사항'!$K$6:$K$1004, 'Dev 조치사항'!$D$6:$D$1004, D64)), 0))</f>
        <v/>
      </c>
      <c r="J64" s="16">
        <f t="array" ref="J64">IF(
  INDEX('Dev 조치사항'!$J$6:$J$1004,
    MATCH(1,
      ('Dev 조치사항'!$D$6:$D$1004=D64)*
      ('Dev 조치사항'!$K$6:$K$1004=_xlfn.MAXIFS('Dev 조치사항'!$K$6:$K$1004, 'Dev 조치사항'!$D$6:$D$1004, D64)),
    0)
  ) = "",
  "-",
  INDEX('Dev 조치사항'!$J$6:$J$1004,
    MATCH(1,
      ('Dev 조치사항'!$D$6:$D$1004=D64)*
      ('Dev 조치사항'!$K$6:$K$1004=_xlfn.MAXIFS('Dev 조치사항'!$K$6:$K$1004, 'Dev 조치사항'!$D$6:$D$1004, D64)),
    0)
  )
)</f>
        <v/>
      </c>
      <c r="K64" s="32">
        <f>_xlfn.MAXIFS('Dev 조치사항'!$K$6:$K$1004, 'Dev 조치사항'!$D$6:$D$1004, D64)</f>
        <v/>
      </c>
    </row>
    <row r="65" ht="27" customHeight="1" s="33">
      <c r="A65" s="35" t="n"/>
      <c r="B65" s="34" t="inlineStr">
        <is>
          <t>설비</t>
        </is>
      </c>
      <c r="C65" s="34" t="inlineStr">
        <is>
          <t>입력검증</t>
        </is>
      </c>
      <c r="D65" s="34" t="inlineStr">
        <is>
          <t>AD230_EC_014</t>
        </is>
      </c>
      <c r="E65" s="3" t="inlineStr">
        <is>
          <t>같은 설비를 중복 추가한다.</t>
        </is>
      </c>
      <c r="F65" s="4" t="inlineStr">
        <is>
          <t>설비 목록에 이미 있는 설비를 Lov 에서 다시 선택하여 저장</t>
        </is>
      </c>
      <c r="G65" s="3" t="inlineStr">
        <is>
          <t>중복 안내 후 저장되지 않음 (업무상 허용이면 해당없음 처리)</t>
        </is>
      </c>
      <c r="H65" s="10">
        <f t="array" ref="H65">INDEX('Dev 조치사항'!$H$6:$H$1004, MATCH(1, ('Dev 조치사항'!$D$6:$D$1004=D65)*('Dev 조치사항'!$K$6:$K$1004=_xlfn.MAXIFS('Dev 조치사항'!$K$6:$K$1004, 'Dev 조치사항'!$D$6:$D$1004, D65)), 0))</f>
        <v/>
      </c>
      <c r="I65" s="11">
        <f t="array" ref="I65">INDEX('Dev 조치사항'!$I$6:$I$1004, MATCH(1, ('Dev 조치사항'!$D$6:$D$1004=D65)*('Dev 조치사항'!$K$6:$K$1004=_xlfn.MAXIFS('Dev 조치사항'!$K$6:$K$1004, 'Dev 조치사항'!$D$6:$D$1004, D65)), 0))</f>
        <v/>
      </c>
      <c r="J65" s="16">
        <f t="array" ref="J65">IF(
  INDEX('Dev 조치사항'!$J$6:$J$1004,
    MATCH(1,
      ('Dev 조치사항'!$D$6:$D$1004=D65)*
      ('Dev 조치사항'!$K$6:$K$1004=_xlfn.MAXIFS('Dev 조치사항'!$K$6:$K$1004, 'Dev 조치사항'!$D$6:$D$1004, D65)),
    0)
  ) = "",
  "-",
  INDEX('Dev 조치사항'!$J$6:$J$1004,
    MATCH(1,
      ('Dev 조치사항'!$D$6:$D$1004=D65)*
      ('Dev 조치사항'!$K$6:$K$1004=_xlfn.MAXIFS('Dev 조치사항'!$K$6:$K$1004, 'Dev 조치사항'!$D$6:$D$1004, D65)),
    0)
  )
)</f>
        <v/>
      </c>
      <c r="K65" s="32">
        <f>_xlfn.MAXIFS('Dev 조치사항'!$K$6:$K$1004, 'Dev 조치사항'!$D$6:$D$1004, D65)</f>
        <v/>
      </c>
    </row>
    <row r="66" ht="27" customHeight="1" s="33">
      <c r="A66" s="35" t="n"/>
      <c r="B66" s="34" t="inlineStr">
        <is>
          <t>공통</t>
        </is>
      </c>
      <c r="C66" s="34" t="inlineStr">
        <is>
          <t>일정생성</t>
        </is>
      </c>
      <c r="D66" s="34" t="inlineStr">
        <is>
          <t>AD230_EC_015</t>
        </is>
      </c>
      <c r="E66" s="3" t="inlineStr">
        <is>
          <t>일정생성 후 주기를 변경한다.</t>
        </is>
      </c>
      <c r="F66" s="4" t="inlineStr">
        <is>
          <t>일정생성된 정기점검주기의 주기를 1 월 → 2 월로 변경 후 저장, 다시 일정생성</t>
        </is>
      </c>
      <c r="G66" s="3" t="inlineStr">
        <is>
          <t>1. 주기만 변경·저장한 상태에서는 기존에 생성된 일정이 그대로 유지됨
2. 일정생성을 다시 누르면 기존 일정이 삭제되고 바뀐 주기로 다시 생성됨</t>
        </is>
      </c>
      <c r="H66" s="10">
        <f t="array" ref="H66">INDEX('Dev 조치사항'!$H$6:$H$1004, MATCH(1, ('Dev 조치사항'!$D$6:$D$1004=D66)*('Dev 조치사항'!$K$6:$K$1004=_xlfn.MAXIFS('Dev 조치사항'!$K$6:$K$1004, 'Dev 조치사항'!$D$6:$D$1004, D66)), 0))</f>
        <v/>
      </c>
      <c r="I66" s="11">
        <f t="array" ref="I66">INDEX('Dev 조치사항'!$I$6:$I$1004, MATCH(1, ('Dev 조치사항'!$D$6:$D$1004=D66)*('Dev 조치사항'!$K$6:$K$1004=_xlfn.MAXIFS('Dev 조치사항'!$K$6:$K$1004, 'Dev 조치사항'!$D$6:$D$1004, D66)), 0))</f>
        <v/>
      </c>
      <c r="J66" s="16">
        <f t="array" ref="J66">IF(
  INDEX('Dev 조치사항'!$J$6:$J$1004,
    MATCH(1,
      ('Dev 조치사항'!$D$6:$D$1004=D66)*
      ('Dev 조치사항'!$K$6:$K$1004=_xlfn.MAXIFS('Dev 조치사항'!$K$6:$K$1004, 'Dev 조치사항'!$D$6:$D$1004, D66)),
    0)
  ) = "",
  "-",
  INDEX('Dev 조치사항'!$J$6:$J$1004,
    MATCH(1,
      ('Dev 조치사항'!$D$6:$D$1004=D66)*
      ('Dev 조치사항'!$K$6:$K$1004=_xlfn.MAXIFS('Dev 조치사항'!$K$6:$K$1004, 'Dev 조치사항'!$D$6:$D$1004, D66)),
    0)
  )
)</f>
        <v/>
      </c>
      <c r="K66" s="32">
        <f>_xlfn.MAXIFS('Dev 조치사항'!$K$6:$K$1004, 'Dev 조치사항'!$D$6:$D$1004, D66)</f>
        <v/>
      </c>
    </row>
    <row r="67" ht="27" customHeight="1" s="33">
      <c r="A67" s="36" t="n"/>
      <c r="B67" s="36" t="n"/>
      <c r="C67" s="34" t="inlineStr">
        <is>
          <t>삭제</t>
        </is>
      </c>
      <c r="D67" s="34" t="inlineStr">
        <is>
          <t>AD230_EC_016</t>
        </is>
      </c>
      <c r="E67" s="3" t="inlineStr">
        <is>
          <t>일정이 생성된 정기점검주기를 삭제한다.</t>
        </is>
      </c>
      <c r="F67" s="4" t="inlineStr">
        <is>
          <t>일정생성된 정기점검주기를 목록에서 삭제 → OK</t>
        </is>
      </c>
      <c r="G67" s="3" t="inlineStr">
        <is>
          <t>일정이 생성된 정기점검주기는 삭제할 수 없다는 안내가 뜨고 삭제되지 않음 (실제 동작을 QA내용에 함께 기록)</t>
        </is>
      </c>
      <c r="H67" s="10">
        <f t="array" ref="H67">INDEX('Dev 조치사항'!$H$6:$H$1004, MATCH(1, ('Dev 조치사항'!$D$6:$D$1004=D67)*('Dev 조치사항'!$K$6:$K$1004=_xlfn.MAXIFS('Dev 조치사항'!$K$6:$K$1004, 'Dev 조치사항'!$D$6:$D$1004, D67)), 0))</f>
        <v/>
      </c>
      <c r="I67" s="11">
        <f t="array" ref="I67">INDEX('Dev 조치사항'!$I$6:$I$1004, MATCH(1, ('Dev 조치사항'!$D$6:$D$1004=D67)*('Dev 조치사항'!$K$6:$K$1004=_xlfn.MAXIFS('Dev 조치사항'!$K$6:$K$1004, 'Dev 조치사항'!$D$6:$D$1004, D67)), 0))</f>
        <v/>
      </c>
      <c r="J67" s="16">
        <f t="array" ref="J67">IF(
  INDEX('Dev 조치사항'!$J$6:$J$1004,
    MATCH(1,
      ('Dev 조치사항'!$D$6:$D$1004=D67)*
      ('Dev 조치사항'!$K$6:$K$1004=_xlfn.MAXIFS('Dev 조치사항'!$K$6:$K$1004, 'Dev 조치사항'!$D$6:$D$1004, D67)),
    0)
  ) = "",
  "-",
  INDEX('Dev 조치사항'!$J$6:$J$1004,
    MATCH(1,
      ('Dev 조치사항'!$D$6:$D$1004=D67)*
      ('Dev 조치사항'!$K$6:$K$1004=_xlfn.MAXIFS('Dev 조치사항'!$K$6:$K$1004, 'Dev 조치사항'!$D$6:$D$1004, D67)),
    0)
  )
)</f>
        <v/>
      </c>
      <c r="K67" s="32">
        <f>_xlfn.MAXIFS('Dev 조치사항'!$K$6:$K$1004, 'Dev 조치사항'!$D$6:$D$1004, D67)</f>
        <v/>
      </c>
    </row>
    <row r="68" ht="27" customHeight="1" s="33"/>
    <row r="73" ht="49.5" customHeight="1" s="33"/>
    <row r="78" ht="27" customHeight="1" s="33"/>
    <row r="79" ht="108" customHeight="1" s="33"/>
    <row r="80" ht="108" customHeight="1" s="33"/>
    <row r="81" ht="108" customHeight="1" s="33"/>
    <row r="82" ht="108" customHeight="1" s="33"/>
  </sheetData>
  <mergeCells count="22">
    <mergeCell ref="A6:A47"/>
    <mergeCell ref="C58:C61"/>
    <mergeCell ref="C63:C64"/>
    <mergeCell ref="B14:B35"/>
    <mergeCell ref="C23:C25"/>
    <mergeCell ref="B6:B12"/>
    <mergeCell ref="C26:C27"/>
    <mergeCell ref="B43:B46"/>
    <mergeCell ref="A52:A67"/>
    <mergeCell ref="B62:B64"/>
    <mergeCell ref="A2:K2"/>
    <mergeCell ref="C15:C21"/>
    <mergeCell ref="C32:C33"/>
    <mergeCell ref="B52:B56"/>
    <mergeCell ref="B36:B41"/>
    <mergeCell ref="C34:C35"/>
    <mergeCell ref="C7:C12"/>
    <mergeCell ref="C28:C29"/>
    <mergeCell ref="B57:B61"/>
    <mergeCell ref="B66:B67"/>
    <mergeCell ref="C37:C38"/>
    <mergeCell ref="C53:C56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tabColor rgb="FFFFC000"/>
    <outlinePr summaryBelow="1" summaryRight="1"/>
    <pageSetUpPr/>
  </sheetPr>
  <dimension ref="A2:Q67"/>
  <sheetViews>
    <sheetView tabSelected="1" zoomScale="80" zoomScaleNormal="80" workbookViewId="0">
      <pane xSplit="4" ySplit="5" topLeftCell="E6" activePane="bottomRight" state="frozen"/>
      <selection pane="topRight" activeCell="D1" sqref="D1"/>
      <selection pane="bottomLeft" activeCell="A6" sqref="A6"/>
      <selection pane="bottomRight" activeCell="F13" sqref="F13"/>
    </sheetView>
  </sheetViews>
  <sheetFormatPr baseColWidth="8" defaultColWidth="18.25" defaultRowHeight="16.5"/>
  <cols>
    <col width="15.375" bestFit="1" customWidth="1" style="38" min="1" max="1"/>
    <col width="15.375" customWidth="1" style="38" min="2" max="2"/>
    <col width="9.25" customWidth="1" style="39" min="3" max="3"/>
    <col width="14.5" bestFit="1" customWidth="1" style="39" min="4" max="4"/>
    <col width="60.25" bestFit="1" customWidth="1" style="44" min="5" max="5"/>
    <col width="52.625" customWidth="1" style="44" min="6" max="6"/>
    <col width="54.5" customWidth="1" style="44" min="7" max="7"/>
    <col width="7" bestFit="1" customWidth="1" style="45" min="8" max="8"/>
    <col width="10.75" bestFit="1" customWidth="1" style="46" min="9" max="9"/>
    <col width="32.625" customWidth="1" style="44" min="10" max="10"/>
    <col width="18.25" customWidth="1" style="44" min="11" max="11"/>
    <col width="8.75" bestFit="1" customWidth="1" style="44" min="12" max="12"/>
    <col width="18.25" customWidth="1" style="44" min="13" max="13"/>
    <col width="18.25" customWidth="1" style="44" min="14" max="16"/>
    <col width="40" customWidth="1" style="33" min="17" max="17"/>
    <col width="18.25" customWidth="1" style="44" min="18" max="16384"/>
  </cols>
  <sheetData>
    <row r="2" ht="31.5" customHeight="1" s="33">
      <c r="A2" s="43">
        <f>"Dream 4.1 "&amp;CLEAN(A6)&amp;" 단위테스트 실행 로그"</f>
        <v/>
      </c>
    </row>
    <row r="4">
      <c r="A4" s="28" t="inlineStr">
        <is>
          <t>공통</t>
        </is>
      </c>
      <c r="B4" s="29" t="n"/>
      <c r="C4" s="44" t="n"/>
      <c r="D4" s="45" t="n"/>
    </row>
    <row r="5" ht="27" customHeight="1" s="33">
      <c r="A5" s="20" t="inlineStr">
        <is>
          <t>메뉴명</t>
        </is>
      </c>
      <c r="B5" s="21" t="inlineStr">
        <is>
          <t>탭 명</t>
        </is>
      </c>
      <c r="C5" s="20" t="inlineStr">
        <is>
          <t>기능</t>
        </is>
      </c>
      <c r="D5" s="20" t="inlineStr">
        <is>
          <t>테스트ID</t>
        </is>
      </c>
      <c r="E5" s="20" t="inlineStr">
        <is>
          <t>CASE</t>
        </is>
      </c>
      <c r="F5" s="20" t="inlineStr">
        <is>
          <t>STEP</t>
        </is>
      </c>
      <c r="G5" s="20" t="inlineStr">
        <is>
          <t>테스트 예상 결과</t>
        </is>
      </c>
      <c r="H5" s="22" t="inlineStr">
        <is>
          <t>QA</t>
        </is>
      </c>
      <c r="I5" s="22" t="inlineStr">
        <is>
          <t>QA결과 
(정상/오류)</t>
        </is>
      </c>
      <c r="J5" s="22" t="inlineStr">
        <is>
          <t>QA내용</t>
        </is>
      </c>
      <c r="K5" s="23" t="inlineStr">
        <is>
          <t>QA날짜</t>
        </is>
      </c>
      <c r="L5" s="23" t="inlineStr">
        <is>
          <t>첨부파일</t>
        </is>
      </c>
      <c r="M5" s="24" t="inlineStr">
        <is>
          <t>Dev</t>
        </is>
      </c>
      <c r="N5" s="24" t="inlineStr">
        <is>
          <t>조치결과
(완료/불가/보류)</t>
        </is>
      </c>
      <c r="O5" s="25" t="inlineStr">
        <is>
          <t>조치내용</t>
        </is>
      </c>
      <c r="P5" s="26" t="inlineStr">
        <is>
          <t>조치날짜</t>
        </is>
      </c>
      <c r="Q5" s="26" t="inlineStr">
        <is>
          <t>테스트 데이터 / 증적</t>
        </is>
      </c>
    </row>
    <row r="6" ht="13.5" customHeight="1" s="33">
      <c r="A6" s="34" t="inlineStr">
        <is>
          <t>정기점검주기_AD230</t>
        </is>
      </c>
      <c r="B6" s="34" t="inlineStr">
        <is>
          <t>목록(조건)</t>
        </is>
      </c>
      <c r="C6" s="34" t="inlineStr">
        <is>
          <t>검색</t>
        </is>
      </c>
      <c r="D6" s="34" t="inlineStr">
        <is>
          <t>AD230_TC_001</t>
        </is>
      </c>
      <c r="E6" s="13">
        <f>IFERROR(VLOOKUP($D6, '테스트 케이스'!$D$6:$G$1001, 2, FALSE), "")</f>
        <v/>
      </c>
      <c r="F6" s="13">
        <f>IFERROR(VLOOKUP($D6, '테스트 케이스'!$D$6:$G$1001, 3, FALSE), "")</f>
        <v/>
      </c>
      <c r="G6" s="13">
        <f>IFERROR(VLOOKUP($D6, '테스트 케이스'!$D$6:$G$1001, 4, FALSE), "")</f>
        <v/>
      </c>
      <c r="H6" s="5" t="inlineStr">
        <is>
          <t>최신영</t>
        </is>
      </c>
      <c r="I6" s="15" t="inlineStr">
        <is>
          <t>정상</t>
        </is>
      </c>
      <c r="J6" s="47" t="inlineStr"/>
      <c r="K6" s="27" t="inlineStr">
        <is>
          <t>2026-10-19</t>
        </is>
      </c>
      <c r="L6" s="5" t="inlineStr"/>
      <c r="M6" s="6" t="n"/>
      <c r="N6" s="6" t="n"/>
      <c r="O6" s="6" t="n"/>
      <c r="P6" s="6" t="n"/>
      <c r="Q6" s="48" t="inlineStr"/>
    </row>
    <row r="7" ht="13.5" customHeight="1" s="33">
      <c r="A7" s="35" t="n"/>
      <c r="B7" s="35" t="n"/>
      <c r="C7" s="34" t="inlineStr">
        <is>
          <t>검색</t>
        </is>
      </c>
      <c r="D7" s="34" t="inlineStr">
        <is>
          <t>AD230_TC_002</t>
        </is>
      </c>
      <c r="E7" s="13">
        <f>IFERROR(VLOOKUP($D7, '테스트 케이스'!$D$6:$G$1001, 2, FALSE), "")</f>
        <v/>
      </c>
      <c r="F7" s="13">
        <f>IFERROR(VLOOKUP($D7, '테스트 케이스'!$D$6:$G$1001, 3, FALSE), "")</f>
        <v/>
      </c>
      <c r="G7" s="13">
        <f>IFERROR(VLOOKUP($D7, '테스트 케이스'!$D$6:$G$1001, 4, FALSE), "")</f>
        <v/>
      </c>
      <c r="H7" s="5" t="inlineStr">
        <is>
          <t>최신영</t>
        </is>
      </c>
      <c r="I7" s="15" t="inlineStr">
        <is>
          <t>정상</t>
        </is>
      </c>
      <c r="J7" s="47" t="inlineStr"/>
      <c r="K7" s="27" t="inlineStr">
        <is>
          <t>2026-10-19</t>
        </is>
      </c>
      <c r="L7" s="5" t="inlineStr"/>
      <c r="M7" s="6" t="n"/>
      <c r="N7" s="6" t="n"/>
      <c r="O7" s="6" t="n"/>
      <c r="P7" s="6" t="n"/>
      <c r="Q7" s="48" t="inlineStr"/>
    </row>
    <row r="8" ht="13.5" customHeight="1" s="33">
      <c r="A8" s="35" t="n"/>
      <c r="B8" s="35" t="n"/>
      <c r="C8" s="35" t="n"/>
      <c r="D8" s="34" t="inlineStr">
        <is>
          <t>AD230_TC_003</t>
        </is>
      </c>
      <c r="E8" s="13">
        <f>IFERROR(VLOOKUP($D8, '테스트 케이스'!$D$6:$G$1001, 2, FALSE), "")</f>
        <v/>
      </c>
      <c r="F8" s="13">
        <f>IFERROR(VLOOKUP($D8, '테스트 케이스'!$D$6:$G$1001, 3, FALSE), "")</f>
        <v/>
      </c>
      <c r="G8" s="13">
        <f>IFERROR(VLOOKUP($D8, '테스트 케이스'!$D$6:$G$1001, 4, FALSE), "")</f>
        <v/>
      </c>
      <c r="H8" s="5" t="inlineStr">
        <is>
          <t>최신영</t>
        </is>
      </c>
      <c r="I8" s="15" t="inlineStr">
        <is>
          <t>정상</t>
        </is>
      </c>
      <c r="J8" s="47" t="inlineStr"/>
      <c r="K8" s="27" t="inlineStr">
        <is>
          <t>2026-10-19</t>
        </is>
      </c>
      <c r="L8" s="5" t="inlineStr"/>
      <c r="M8" s="6" t="n"/>
      <c r="N8" s="6" t="n"/>
      <c r="O8" s="6" t="n"/>
      <c r="P8" s="6" t="n"/>
      <c r="Q8" s="48" t="inlineStr"/>
    </row>
    <row r="9" ht="31.15" customHeight="1" s="33">
      <c r="A9" s="35" t="n"/>
      <c r="B9" s="35" t="n"/>
      <c r="C9" s="35" t="n"/>
      <c r="D9" s="34" t="inlineStr">
        <is>
          <t>AD230_TC_004</t>
        </is>
      </c>
      <c r="E9" s="13">
        <f>IFERROR(VLOOKUP($D9, '테스트 케이스'!$D$6:$G$1001, 2, FALSE), "")</f>
        <v/>
      </c>
      <c r="F9" s="13">
        <f>IFERROR(VLOOKUP($D9, '테스트 케이스'!$D$6:$G$1001, 3, FALSE), "")</f>
        <v/>
      </c>
      <c r="G9" s="13">
        <f>IFERROR(VLOOKUP($D9, '테스트 케이스'!$D$6:$G$1001, 4, FALSE), "")</f>
        <v/>
      </c>
      <c r="H9" s="5" t="inlineStr">
        <is>
          <t>최신영</t>
        </is>
      </c>
      <c r="I9" s="15" t="inlineStr">
        <is>
          <t>오류</t>
        </is>
      </c>
      <c r="J9" s="47" t="inlineStr">
        <is>
          <t>조건 하나로 검색하면 목록 행 수와 Total 이 다름.
예방작업번호=8007: 1행인데 Total 3/3 (8007 은 오늘 설비 2행을 추가 후 삭제함 → 1+2=3)
설비=High Speed Mixer(세종파마텍): 2행, Total 6/6
부서명=QA팀: 34행, Total 38/38
작업명=8007 작업명: 1행, Total 3/3
→ Total 이 삭제된 설비 행까지 세는 것으로 보임 (조건에 맞지 않는 행은 0건).</t>
        </is>
      </c>
      <c r="K9" s="27" t="inlineStr">
        <is>
          <t>2026-10-19</t>
        </is>
      </c>
      <c r="L9" s="5" t="inlineStr"/>
      <c r="M9" s="6" t="n"/>
      <c r="N9" s="6" t="n"/>
      <c r="O9" s="6" t="n"/>
      <c r="P9" s="6" t="n"/>
      <c r="Q9" s="48" t="inlineStr"/>
    </row>
    <row r="10" ht="31.15" customHeight="1" s="33">
      <c r="A10" s="35" t="n"/>
      <c r="B10" s="35" t="n"/>
      <c r="C10" s="35" t="n"/>
      <c r="D10" s="34" t="inlineStr">
        <is>
          <t>AD230_TC_005</t>
        </is>
      </c>
      <c r="E10" s="13">
        <f>IFERROR(VLOOKUP($D10, '테스트 케이스'!$D$6:$G$1001, 2, FALSE), "")</f>
        <v/>
      </c>
      <c r="F10" s="13">
        <f>IFERROR(VLOOKUP($D10, '테스트 케이스'!$D$6:$G$1001, 3, FALSE), "")</f>
        <v/>
      </c>
      <c r="G10" s="13">
        <f>IFERROR(VLOOKUP($D10, '테스트 케이스'!$D$6:$G$1001, 4, FALSE), "")</f>
        <v/>
      </c>
      <c r="H10" s="5" t="inlineStr">
        <is>
          <t>최신영</t>
        </is>
      </c>
      <c r="I10" s="15" t="inlineStr">
        <is>
          <t>정상</t>
        </is>
      </c>
      <c r="J10" s="47" t="inlineStr"/>
      <c r="K10" s="27" t="inlineStr">
        <is>
          <t>2026-10-19</t>
        </is>
      </c>
      <c r="L10" s="5" t="inlineStr"/>
      <c r="M10" s="6" t="n"/>
      <c r="N10" s="6" t="n"/>
      <c r="O10" s="6" t="n"/>
      <c r="P10" s="6" t="n"/>
      <c r="Q10" s="48" t="inlineStr"/>
    </row>
    <row r="11" ht="13.5" customHeight="1" s="33">
      <c r="A11" s="35" t="n"/>
      <c r="B11" s="35" t="n"/>
      <c r="C11" s="35" t="n"/>
      <c r="D11" s="34" t="inlineStr">
        <is>
          <t>AD230_TC_006</t>
        </is>
      </c>
      <c r="E11" s="13">
        <f>IFERROR(VLOOKUP($D11, '테스트 케이스'!$D$6:$G$1001, 2, FALSE), "")</f>
        <v/>
      </c>
      <c r="F11" s="13">
        <f>IFERROR(VLOOKUP($D11, '테스트 케이스'!$D$6:$G$1001, 3, FALSE), "")</f>
        <v/>
      </c>
      <c r="G11" s="13">
        <f>IFERROR(VLOOKUP($D11, '테스트 케이스'!$D$6:$G$1001, 4, FALSE), "")</f>
        <v/>
      </c>
      <c r="H11" s="5" t="inlineStr">
        <is>
          <t>최신영</t>
        </is>
      </c>
      <c r="I11" s="15" t="inlineStr">
        <is>
          <t>정상</t>
        </is>
      </c>
      <c r="J11" s="47" t="inlineStr"/>
      <c r="K11" s="27" t="inlineStr">
        <is>
          <t>2026-10-19</t>
        </is>
      </c>
      <c r="L11" s="5" t="inlineStr"/>
      <c r="M11" s="6" t="n"/>
      <c r="N11" s="6" t="n"/>
      <c r="O11" s="6" t="n"/>
      <c r="P11" s="6" t="n"/>
      <c r="Q11" s="48" t="inlineStr"/>
    </row>
    <row r="12" ht="31.15" customHeight="1" s="33">
      <c r="A12" s="35" t="n"/>
      <c r="B12" s="36" t="n"/>
      <c r="C12" s="36" t="n"/>
      <c r="D12" s="34" t="inlineStr">
        <is>
          <t>AD230_TC_007</t>
        </is>
      </c>
      <c r="E12" s="13">
        <f>IFERROR(VLOOKUP($D12, '테스트 케이스'!$D$6:$G$1001, 2, FALSE), "")</f>
        <v/>
      </c>
      <c r="F12" s="13">
        <f>IFERROR(VLOOKUP($D12, '테스트 케이스'!$D$6:$G$1001, 3, FALSE), "")</f>
        <v/>
      </c>
      <c r="G12" s="13">
        <f>IFERROR(VLOOKUP($D12, '테스트 케이스'!$D$6:$G$1001, 4, FALSE), "")</f>
        <v/>
      </c>
      <c r="H12" s="5" t="inlineStr">
        <is>
          <t>최신영</t>
        </is>
      </c>
      <c r="I12" s="15" t="inlineStr">
        <is>
          <t>정상</t>
        </is>
      </c>
      <c r="J12" s="47" t="inlineStr"/>
      <c r="K12" s="27" t="inlineStr">
        <is>
          <t>2026-10-19</t>
        </is>
      </c>
      <c r="L12" s="5" t="inlineStr"/>
      <c r="M12" s="6" t="n"/>
      <c r="N12" s="6" t="n"/>
      <c r="O12" s="6" t="n"/>
      <c r="P12" s="6" t="n"/>
      <c r="Q12" s="48" t="inlineStr"/>
    </row>
    <row r="13" ht="31.15" customHeight="1" s="33">
      <c r="A13" s="35" t="n"/>
      <c r="B13" s="34" t="inlineStr">
        <is>
          <t>목록(위치), 목록(종류)</t>
        </is>
      </c>
      <c r="C13" s="34" t="inlineStr">
        <is>
          <t>검색</t>
        </is>
      </c>
      <c r="D13" s="34" t="inlineStr">
        <is>
          <t>AD230_TC_008</t>
        </is>
      </c>
      <c r="E13" s="13">
        <f>IFERROR(VLOOKUP($D13, '테스트 케이스'!$D$6:$G$1001, 2, FALSE), "")</f>
        <v/>
      </c>
      <c r="F13" s="13">
        <f>IFERROR(VLOOKUP($D13, '테스트 케이스'!$D$6:$G$1001, 3, FALSE), "")</f>
        <v/>
      </c>
      <c r="G13" s="13">
        <f>IFERROR(VLOOKUP($D13, '테스트 케이스'!$D$6:$G$1001, 4, FALSE), "")</f>
        <v/>
      </c>
      <c r="H13" s="5" t="inlineStr">
        <is>
          <t>최신영</t>
        </is>
      </c>
      <c r="I13" s="15" t="inlineStr">
        <is>
          <t>정상</t>
        </is>
      </c>
      <c r="J13" s="47" t="inlineStr"/>
      <c r="K13" s="27" t="inlineStr">
        <is>
          <t>2026-10-19</t>
        </is>
      </c>
      <c r="L13" s="5" t="inlineStr"/>
      <c r="M13" s="6" t="n"/>
      <c r="N13" s="6" t="n"/>
      <c r="O13" s="6" t="n"/>
      <c r="P13" s="6" t="n"/>
      <c r="Q13" s="48" t="inlineStr"/>
    </row>
    <row r="14" ht="31.15" customHeight="1" s="33">
      <c r="A14" s="35" t="n"/>
      <c r="B14" s="34" t="inlineStr">
        <is>
          <t>목록(위치), 목록(종류), 목록(조건)</t>
        </is>
      </c>
      <c r="C14" s="34" t="inlineStr">
        <is>
          <t>조회</t>
        </is>
      </c>
      <c r="D14" s="34" t="inlineStr">
        <is>
          <t>AD230_TC_009</t>
        </is>
      </c>
      <c r="E14" s="13">
        <f>IFERROR(VLOOKUP($D14, '테스트 케이스'!$D$6:$G$1001, 2, FALSE), "")</f>
        <v/>
      </c>
      <c r="F14" s="13">
        <f>IFERROR(VLOOKUP($D14, '테스트 케이스'!$D$6:$G$1001, 3, FALSE), "")</f>
        <v/>
      </c>
      <c r="G14" s="13">
        <f>IFERROR(VLOOKUP($D14, '테스트 케이스'!$D$6:$G$1001, 4, FALSE), "")</f>
        <v/>
      </c>
      <c r="H14" s="5" t="inlineStr">
        <is>
          <t>최신영</t>
        </is>
      </c>
      <c r="I14" s="15" t="inlineStr">
        <is>
          <t>정상</t>
        </is>
      </c>
      <c r="J14" s="47" t="inlineStr"/>
      <c r="K14" s="27" t="inlineStr">
        <is>
          <t>2026-10-19</t>
        </is>
      </c>
      <c r="L14" s="5" t="inlineStr"/>
      <c r="M14" s="6" t="n"/>
      <c r="N14" s="6" t="n"/>
      <c r="O14" s="6" t="n"/>
      <c r="P14" s="6" t="n"/>
      <c r="Q14" s="48" t="inlineStr"/>
    </row>
    <row r="15" ht="31.15" customHeight="1" s="33">
      <c r="A15" s="35" t="n"/>
      <c r="B15" s="35" t="n"/>
      <c r="C15" s="34" t="inlineStr">
        <is>
          <t>조회</t>
        </is>
      </c>
      <c r="D15" s="34" t="inlineStr">
        <is>
          <t>AD230_TC_010</t>
        </is>
      </c>
      <c r="E15" s="13">
        <f>IFERROR(VLOOKUP($D15, '테스트 케이스'!$D$6:$G$1001, 2, FALSE), "")</f>
        <v/>
      </c>
      <c r="F15" s="13">
        <f>IFERROR(VLOOKUP($D15, '테스트 케이스'!$D$6:$G$1001, 3, FALSE), "")</f>
        <v/>
      </c>
      <c r="G15" s="13">
        <f>IFERROR(VLOOKUP($D15, '테스트 케이스'!$D$6:$G$1001, 4, FALSE), "")</f>
        <v/>
      </c>
      <c r="H15" s="5" t="inlineStr">
        <is>
          <t>최신영</t>
        </is>
      </c>
      <c r="I15" s="15" t="inlineStr">
        <is>
          <t>정상</t>
        </is>
      </c>
      <c r="J15" s="47" t="inlineStr">
        <is>
          <t>[개선] 목록(조건) 첫 화면 Total 50/503 인데 끝까지 불러오면 502행.
중복 행 0건, 설비 2대 이상인 주기(7760, 6062, 4820, 4486, 4384)가 설비 수만큼 행으로 나와 추가 6행, 설비 없는 주기 6건 포함.
TC_004 와 같이 Total 이 삭제된 설비 행을 세는 것으로 보임 (오전 조회 때는 Total 495 / 497행).</t>
        </is>
      </c>
      <c r="K15" s="27" t="inlineStr">
        <is>
          <t>2026-10-19</t>
        </is>
      </c>
      <c r="L15" s="5" t="inlineStr"/>
      <c r="M15" s="6" t="n"/>
      <c r="N15" s="6" t="n"/>
      <c r="O15" s="6" t="n"/>
      <c r="P15" s="6" t="n"/>
      <c r="Q15" s="48" t="inlineStr"/>
    </row>
    <row r="16" ht="13.5" customHeight="1" s="33">
      <c r="A16" s="35" t="n"/>
      <c r="B16" s="35" t="n"/>
      <c r="C16" s="35" t="n"/>
      <c r="D16" s="34" t="inlineStr">
        <is>
          <t>AD230_TC_011</t>
        </is>
      </c>
      <c r="E16" s="13">
        <f>IFERROR(VLOOKUP($D16, '테스트 케이스'!$D$6:$G$1001, 2, FALSE), "")</f>
        <v/>
      </c>
      <c r="F16" s="13">
        <f>IFERROR(VLOOKUP($D16, '테스트 케이스'!$D$6:$G$1001, 3, FALSE), "")</f>
        <v/>
      </c>
      <c r="G16" s="13">
        <f>IFERROR(VLOOKUP($D16, '테스트 케이스'!$D$6:$G$1001, 4, FALSE), "")</f>
        <v/>
      </c>
      <c r="H16" s="5" t="inlineStr">
        <is>
          <t>최신영</t>
        </is>
      </c>
      <c r="I16" s="15" t="inlineStr">
        <is>
          <t>정상</t>
        </is>
      </c>
      <c r="J16" s="47" t="inlineStr"/>
      <c r="K16" s="27" t="inlineStr">
        <is>
          <t>2026-10-19</t>
        </is>
      </c>
      <c r="L16" s="5" t="inlineStr"/>
      <c r="M16" s="6" t="n"/>
      <c r="N16" s="6" t="n"/>
      <c r="O16" s="6" t="n"/>
      <c r="P16" s="6" t="n"/>
      <c r="Q16" s="48" t="inlineStr"/>
    </row>
    <row r="17" ht="13.5" customHeight="1" s="33">
      <c r="A17" s="35" t="n"/>
      <c r="B17" s="35" t="n"/>
      <c r="C17" s="35" t="n"/>
      <c r="D17" s="34" t="inlineStr">
        <is>
          <t>AD230_TC_012</t>
        </is>
      </c>
      <c r="E17" s="13">
        <f>IFERROR(VLOOKUP($D17, '테스트 케이스'!$D$6:$G$1001, 2, FALSE), "")</f>
        <v/>
      </c>
      <c r="F17" s="13">
        <f>IFERROR(VLOOKUP($D17, '테스트 케이스'!$D$6:$G$1001, 3, FALSE), "")</f>
        <v/>
      </c>
      <c r="G17" s="13">
        <f>IFERROR(VLOOKUP($D17, '테스트 케이스'!$D$6:$G$1001, 4, FALSE), "")</f>
        <v/>
      </c>
      <c r="H17" s="5" t="inlineStr">
        <is>
          <t>최신영</t>
        </is>
      </c>
      <c r="I17" s="15" t="inlineStr">
        <is>
          <t>정상</t>
        </is>
      </c>
      <c r="J17" s="47" t="inlineStr"/>
      <c r="K17" s="27" t="inlineStr">
        <is>
          <t>2026-10-19</t>
        </is>
      </c>
      <c r="L17" s="5" t="inlineStr"/>
      <c r="M17" s="6" t="n"/>
      <c r="N17" s="6" t="n"/>
      <c r="O17" s="6" t="n"/>
      <c r="P17" s="6" t="n"/>
      <c r="Q17" s="48" t="inlineStr"/>
    </row>
    <row r="18" ht="54" customHeight="1" s="33">
      <c r="A18" s="35" t="n"/>
      <c r="B18" s="35" t="n"/>
      <c r="C18" s="35" t="n"/>
      <c r="D18" s="34" t="inlineStr">
        <is>
          <t>AD230_TC_013</t>
        </is>
      </c>
      <c r="E18" s="13">
        <f>IFERROR(VLOOKUP($D18, '테스트 케이스'!$D$6:$G$1001, 2, FALSE), "")</f>
        <v/>
      </c>
      <c r="F18" s="13">
        <f>IFERROR(VLOOKUP($D18, '테스트 케이스'!$D$6:$G$1001, 3, FALSE), "")</f>
        <v/>
      </c>
      <c r="G18" s="13">
        <f>IFERROR(VLOOKUP($D18, '테스트 케이스'!$D$6:$G$1001, 4, FALSE), "")</f>
        <v/>
      </c>
      <c r="H18" s="5" t="inlineStr">
        <is>
          <t>최신영</t>
        </is>
      </c>
      <c r="I18" s="15" t="inlineStr">
        <is>
          <t>정상</t>
        </is>
      </c>
      <c r="J18" s="47" t="inlineStr"/>
      <c r="K18" s="27" t="inlineStr">
        <is>
          <t>2026-10-19</t>
        </is>
      </c>
      <c r="L18" s="5" t="inlineStr"/>
      <c r="M18" s="6" t="n"/>
      <c r="N18" s="6" t="n"/>
      <c r="O18" s="6" t="n"/>
      <c r="P18" s="6" t="n"/>
      <c r="Q18" s="48" t="inlineStr"/>
    </row>
    <row r="19" ht="46.9" customHeight="1" s="33">
      <c r="A19" s="35" t="n"/>
      <c r="B19" s="35" t="n"/>
      <c r="C19" s="35" t="n"/>
      <c r="D19" s="34" t="inlineStr">
        <is>
          <t>AD230_TC_014</t>
        </is>
      </c>
      <c r="E19" s="13">
        <f>IFERROR(VLOOKUP($D19, '테스트 케이스'!$D$6:$G$1001, 2, FALSE), "")</f>
        <v/>
      </c>
      <c r="F19" s="13">
        <f>IFERROR(VLOOKUP($D19, '테스트 케이스'!$D$6:$G$1001, 3, FALSE), "")</f>
        <v/>
      </c>
      <c r="G19" s="13">
        <f>IFERROR(VLOOKUP($D19, '테스트 케이스'!$D$6:$G$1001, 4, FALSE), "")</f>
        <v/>
      </c>
      <c r="H19" s="5" t="inlineStr">
        <is>
          <t>최신영</t>
        </is>
      </c>
      <c r="I19" s="15" t="inlineStr">
        <is>
          <t>정상</t>
        </is>
      </c>
      <c r="J19" s="47" t="inlineStr"/>
      <c r="K19" s="27" t="inlineStr">
        <is>
          <t>2026-10-19</t>
        </is>
      </c>
      <c r="L19" s="5" t="inlineStr"/>
      <c r="M19" s="6" t="n"/>
      <c r="N19" s="6" t="n"/>
      <c r="O19" s="6" t="n"/>
      <c r="P19" s="6" t="n"/>
      <c r="Q19" s="48" t="inlineStr"/>
    </row>
    <row r="20" ht="31.15" customHeight="1" s="33">
      <c r="A20" s="35" t="n"/>
      <c r="B20" s="35" t="n"/>
      <c r="C20" s="35" t="n"/>
      <c r="D20" s="34" t="inlineStr">
        <is>
          <t>AD230_TC_015</t>
        </is>
      </c>
      <c r="E20" s="13">
        <f>IFERROR(VLOOKUP($D20, '테스트 케이스'!$D$6:$G$1001, 2, FALSE), "")</f>
        <v/>
      </c>
      <c r="F20" s="13">
        <f>IFERROR(VLOOKUP($D20, '테스트 케이스'!$D$6:$G$1001, 3, FALSE), "")</f>
        <v/>
      </c>
      <c r="G20" s="13">
        <f>IFERROR(VLOOKUP($D20, '테스트 케이스'!$D$6:$G$1001, 4, FALSE), "")</f>
        <v/>
      </c>
      <c r="H20" s="5" t="inlineStr">
        <is>
          <t>최신영</t>
        </is>
      </c>
      <c r="I20" s="15" t="inlineStr">
        <is>
          <t>정상</t>
        </is>
      </c>
      <c r="J20" s="47" t="inlineStr"/>
      <c r="K20" s="27" t="inlineStr">
        <is>
          <t>2026-10-19</t>
        </is>
      </c>
      <c r="L20" s="5" t="inlineStr"/>
      <c r="M20" s="6" t="n"/>
      <c r="N20" s="6" t="n"/>
      <c r="O20" s="6" t="n"/>
      <c r="P20" s="6" t="n"/>
      <c r="Q20" s="48" t="inlineStr"/>
    </row>
    <row r="21" ht="31.15" customHeight="1" s="33">
      <c r="A21" s="35" t="n"/>
      <c r="B21" s="35" t="n"/>
      <c r="C21" s="36" t="n"/>
      <c r="D21" s="34" t="inlineStr">
        <is>
          <t>AD230_TC_016</t>
        </is>
      </c>
      <c r="E21" s="13">
        <f>IFERROR(VLOOKUP($D21, '테스트 케이스'!$D$6:$G$1001, 2, FALSE), "")</f>
        <v/>
      </c>
      <c r="F21" s="13">
        <f>IFERROR(VLOOKUP($D21, '테스트 케이스'!$D$6:$G$1001, 3, FALSE), "")</f>
        <v/>
      </c>
      <c r="G21" s="13">
        <f>IFERROR(VLOOKUP($D21, '테스트 케이스'!$D$6:$G$1001, 4, FALSE), "")</f>
        <v/>
      </c>
      <c r="H21" s="5" t="inlineStr">
        <is>
          <t>최신영</t>
        </is>
      </c>
      <c r="I21" s="15" t="inlineStr">
        <is>
          <t>정상</t>
        </is>
      </c>
      <c r="J21" s="47" t="inlineStr"/>
      <c r="K21" s="27" t="inlineStr">
        <is>
          <t>2026-10-19</t>
        </is>
      </c>
      <c r="L21" s="5" t="inlineStr"/>
      <c r="M21" s="6" t="n"/>
      <c r="N21" s="6" t="n"/>
      <c r="O21" s="6" t="n"/>
      <c r="P21" s="6" t="n"/>
      <c r="Q21" s="48" t="inlineStr"/>
    </row>
    <row r="22" ht="54" customHeight="1" s="33">
      <c r="A22" s="35" t="n"/>
      <c r="B22" s="35" t="n"/>
      <c r="C22" s="34" t="inlineStr">
        <is>
          <t>닫기</t>
        </is>
      </c>
      <c r="D22" s="34" t="inlineStr">
        <is>
          <t>AD230_TC_017</t>
        </is>
      </c>
      <c r="E22" s="13">
        <f>IFERROR(VLOOKUP($D22, '테스트 케이스'!$D$6:$G$1001, 2, FALSE), "")</f>
        <v/>
      </c>
      <c r="F22" s="13">
        <f>IFERROR(VLOOKUP($D22, '테스트 케이스'!$D$6:$G$1001, 3, FALSE), "")</f>
        <v/>
      </c>
      <c r="G22" s="13">
        <f>IFERROR(VLOOKUP($D22, '테스트 케이스'!$D$6:$G$1001, 4, FALSE), "")</f>
        <v/>
      </c>
      <c r="H22" s="5" t="inlineStr">
        <is>
          <t>최신영</t>
        </is>
      </c>
      <c r="I22" s="15" t="inlineStr">
        <is>
          <t>정상</t>
        </is>
      </c>
      <c r="J22" s="47" t="inlineStr"/>
      <c r="K22" s="27" t="inlineStr">
        <is>
          <t>2026-10-19</t>
        </is>
      </c>
      <c r="L22" s="5" t="inlineStr"/>
      <c r="M22" s="6" t="n"/>
      <c r="N22" s="6" t="n"/>
      <c r="O22" s="6" t="n"/>
      <c r="P22" s="6" t="n"/>
      <c r="Q22" s="48" t="inlineStr"/>
    </row>
    <row r="23" ht="31.15" customHeight="1" s="33">
      <c r="A23" s="35" t="n"/>
      <c r="B23" s="35" t="n"/>
      <c r="C23" s="34" t="inlineStr">
        <is>
          <t>생성</t>
        </is>
      </c>
      <c r="D23" s="34" t="inlineStr">
        <is>
          <t>AD230_TC_018</t>
        </is>
      </c>
      <c r="E23" s="13">
        <f>IFERROR(VLOOKUP($D23, '테스트 케이스'!$D$6:$G$1001, 2, FALSE), "")</f>
        <v/>
      </c>
      <c r="F23" s="13">
        <f>IFERROR(VLOOKUP($D23, '테스트 케이스'!$D$6:$G$1001, 3, FALSE), "")</f>
        <v/>
      </c>
      <c r="G23" s="13">
        <f>IFERROR(VLOOKUP($D23, '테스트 케이스'!$D$6:$G$1001, 4, FALSE), "")</f>
        <v/>
      </c>
      <c r="H23" s="5" t="inlineStr">
        <is>
          <t>최신영</t>
        </is>
      </c>
      <c r="I23" s="15" t="inlineStr">
        <is>
          <t>정상</t>
        </is>
      </c>
      <c r="J23" s="47" t="inlineStr"/>
      <c r="K23" s="27" t="inlineStr">
        <is>
          <t>2026-10-19</t>
        </is>
      </c>
      <c r="L23" s="5" t="inlineStr"/>
      <c r="M23" s="6" t="n"/>
      <c r="N23" s="6" t="n"/>
      <c r="O23" s="6" t="n"/>
      <c r="P23" s="6" t="n"/>
      <c r="Q23" s="48" t="inlineStr"/>
    </row>
    <row r="24" ht="54" customHeight="1" s="33">
      <c r="A24" s="35" t="n"/>
      <c r="B24" s="35" t="n"/>
      <c r="C24" s="35" t="n"/>
      <c r="D24" s="34" t="inlineStr">
        <is>
          <t>AD230_TC_019</t>
        </is>
      </c>
      <c r="E24" s="13">
        <f>IFERROR(VLOOKUP($D24, '테스트 케이스'!$D$6:$G$1001, 2, FALSE), "")</f>
        <v/>
      </c>
      <c r="F24" s="13">
        <f>IFERROR(VLOOKUP($D24, '테스트 케이스'!$D$6:$G$1001, 3, FALSE), "")</f>
        <v/>
      </c>
      <c r="G24" s="13">
        <f>IFERROR(VLOOKUP($D24, '테스트 케이스'!$D$6:$G$1001, 4, FALSE), "")</f>
        <v/>
      </c>
      <c r="H24" s="5" t="inlineStr">
        <is>
          <t>최신영</t>
        </is>
      </c>
      <c r="I24" s="15" t="inlineStr">
        <is>
          <t>정상</t>
        </is>
      </c>
      <c r="J24" s="47" t="inlineStr"/>
      <c r="K24" s="27" t="inlineStr">
        <is>
          <t>2026-10-19</t>
        </is>
      </c>
      <c r="L24" s="5" t="inlineStr"/>
      <c r="M24" s="6" t="n"/>
      <c r="N24" s="6" t="n"/>
      <c r="O24" s="6" t="n"/>
      <c r="P24" s="6" t="n"/>
      <c r="Q24" s="48" t="inlineStr"/>
    </row>
    <row r="25" ht="31.15" customHeight="1" s="33">
      <c r="A25" s="35" t="n"/>
      <c r="B25" s="35" t="n"/>
      <c r="C25" s="36" t="n"/>
      <c r="D25" s="34" t="inlineStr">
        <is>
          <t>AD230_TC_020</t>
        </is>
      </c>
      <c r="E25" s="13">
        <f>IFERROR(VLOOKUP($D25, '테스트 케이스'!$D$6:$G$1001, 2, FALSE), "")</f>
        <v/>
      </c>
      <c r="F25" s="13">
        <f>IFERROR(VLOOKUP($D25, '테스트 케이스'!$D$6:$G$1001, 3, FALSE), "")</f>
        <v/>
      </c>
      <c r="G25" s="13">
        <f>IFERROR(VLOOKUP($D25, '테스트 케이스'!$D$6:$G$1001, 4, FALSE), "")</f>
        <v/>
      </c>
      <c r="H25" s="5" t="inlineStr">
        <is>
          <t>최신영</t>
        </is>
      </c>
      <c r="I25" s="15" t="inlineStr">
        <is>
          <t>정상</t>
        </is>
      </c>
      <c r="J25" s="47" t="inlineStr"/>
      <c r="K25" s="27" t="inlineStr">
        <is>
          <t>2026-10-19</t>
        </is>
      </c>
      <c r="L25" s="5" t="inlineStr"/>
      <c r="M25" s="6" t="n"/>
      <c r="N25" s="6" t="n"/>
      <c r="O25" s="6" t="n"/>
      <c r="P25" s="6" t="n"/>
      <c r="Q25" s="48" t="inlineStr"/>
    </row>
    <row r="26" ht="27" customHeight="1" s="33">
      <c r="A26" s="35" t="n"/>
      <c r="B26" s="35" t="n"/>
      <c r="C26" s="34" t="inlineStr">
        <is>
          <t>수정</t>
        </is>
      </c>
      <c r="D26" s="34" t="inlineStr">
        <is>
          <t>AD230_TC_021</t>
        </is>
      </c>
      <c r="E26" s="13">
        <f>IFERROR(VLOOKUP($D26, '테스트 케이스'!$D$6:$G$1001, 2, FALSE), "")</f>
        <v/>
      </c>
      <c r="F26" s="13">
        <f>IFERROR(VLOOKUP($D26, '테스트 케이스'!$D$6:$G$1001, 3, FALSE), "")</f>
        <v/>
      </c>
      <c r="G26" s="13">
        <f>IFERROR(VLOOKUP($D26, '테스트 케이스'!$D$6:$G$1001, 4, FALSE), "")</f>
        <v/>
      </c>
      <c r="H26" s="5" t="inlineStr">
        <is>
          <t>최신영</t>
        </is>
      </c>
      <c r="I26" s="15" t="inlineStr">
        <is>
          <t>정상</t>
        </is>
      </c>
      <c r="J26" s="47" t="inlineStr"/>
      <c r="K26" s="27" t="inlineStr">
        <is>
          <t>2026-10-19</t>
        </is>
      </c>
      <c r="L26" s="5" t="inlineStr"/>
      <c r="M26" s="6" t="n"/>
      <c r="N26" s="6" t="n"/>
      <c r="O26" s="6" t="n"/>
      <c r="P26" s="6" t="n"/>
      <c r="Q26" s="48" t="inlineStr"/>
    </row>
    <row r="27" ht="31.15" customHeight="1" s="33">
      <c r="A27" s="35" t="n"/>
      <c r="B27" s="35" t="n"/>
      <c r="C27" s="36" t="n"/>
      <c r="D27" s="34" t="inlineStr">
        <is>
          <t>AD230_TC_022</t>
        </is>
      </c>
      <c r="E27" s="13">
        <f>IFERROR(VLOOKUP($D27, '테스트 케이스'!$D$6:$G$1001, 2, FALSE), "")</f>
        <v/>
      </c>
      <c r="F27" s="13">
        <f>IFERROR(VLOOKUP($D27, '테스트 케이스'!$D$6:$G$1001, 3, FALSE), "")</f>
        <v/>
      </c>
      <c r="G27" s="13">
        <f>IFERROR(VLOOKUP($D27, '테스트 케이스'!$D$6:$G$1001, 4, FALSE), "")</f>
        <v/>
      </c>
      <c r="H27" s="5" t="inlineStr">
        <is>
          <t>최신영</t>
        </is>
      </c>
      <c r="I27" s="15" t="inlineStr">
        <is>
          <t>정상</t>
        </is>
      </c>
      <c r="J27" s="47" t="inlineStr"/>
      <c r="K27" s="27" t="inlineStr">
        <is>
          <t>2026-10-19</t>
        </is>
      </c>
      <c r="L27" s="5" t="inlineStr"/>
      <c r="M27" s="6" t="n"/>
      <c r="N27" s="6" t="n"/>
      <c r="O27" s="6" t="n"/>
      <c r="P27" s="6" t="n"/>
      <c r="Q27" s="48" t="inlineStr"/>
    </row>
    <row r="28" ht="31.15" customHeight="1" s="33">
      <c r="A28" s="35" t="n"/>
      <c r="B28" s="35" t="n"/>
      <c r="C28" s="34" t="inlineStr">
        <is>
          <t>삭제</t>
        </is>
      </c>
      <c r="D28" s="34" t="inlineStr">
        <is>
          <t>AD230_TC_023</t>
        </is>
      </c>
      <c r="E28" s="13">
        <f>IFERROR(VLOOKUP($D28, '테스트 케이스'!$D$6:$G$1001, 2, FALSE), "")</f>
        <v/>
      </c>
      <c r="F28" s="13">
        <f>IFERROR(VLOOKUP($D28, '테스트 케이스'!$D$6:$G$1001, 3, FALSE), "")</f>
        <v/>
      </c>
      <c r="G28" s="13">
        <f>IFERROR(VLOOKUP($D28, '테스트 케이스'!$D$6:$G$1001, 4, FALSE), "")</f>
        <v/>
      </c>
      <c r="H28" s="5" t="inlineStr">
        <is>
          <t>최신영</t>
        </is>
      </c>
      <c r="I28" s="15" t="inlineStr"/>
      <c r="J28" s="47" t="inlineStr">
        <is>
          <t>[미수행] 이번 차수 불가: 예방작업(주기) 삭제 금지 규칙</t>
        </is>
      </c>
      <c r="K28" s="27" t="inlineStr">
        <is>
          <t>2026-10-19</t>
        </is>
      </c>
      <c r="L28" s="5" t="inlineStr"/>
      <c r="M28" s="6" t="n"/>
      <c r="N28" s="6" t="n"/>
      <c r="O28" s="6" t="n"/>
      <c r="P28" s="6" t="n"/>
      <c r="Q28" s="48" t="inlineStr"/>
    </row>
    <row r="29" ht="31.15" customHeight="1" s="33">
      <c r="A29" s="35" t="n"/>
      <c r="B29" s="35" t="n"/>
      <c r="C29" s="36" t="n"/>
      <c r="D29" s="34" t="inlineStr">
        <is>
          <t>AD230_TC_024</t>
        </is>
      </c>
      <c r="E29" s="13">
        <f>IFERROR(VLOOKUP($D29, '테스트 케이스'!$D$6:$G$1001, 2, FALSE), "")</f>
        <v/>
      </c>
      <c r="F29" s="13">
        <f>IFERROR(VLOOKUP($D29, '테스트 케이스'!$D$6:$G$1001, 3, FALSE), "")</f>
        <v/>
      </c>
      <c r="G29" s="13">
        <f>IFERROR(VLOOKUP($D29, '테스트 케이스'!$D$6:$G$1001, 4, FALSE), "")</f>
        <v/>
      </c>
      <c r="H29" s="5" t="inlineStr">
        <is>
          <t>최신영</t>
        </is>
      </c>
      <c r="I29" s="15" t="inlineStr">
        <is>
          <t>정상</t>
        </is>
      </c>
      <c r="J29" s="47" t="inlineStr">
        <is>
          <t>[개선] 목록에서 아무것도 체크하지 않고 [삭제] → '선택하세요' 같은 안내 메시지 없음 (확인창이 뜨면 Cancel)</t>
        </is>
      </c>
      <c r="K29" s="27" t="inlineStr">
        <is>
          <t>2026-10-19</t>
        </is>
      </c>
      <c r="L29" s="5" t="inlineStr"/>
      <c r="M29" s="6" t="n"/>
      <c r="N29" s="6" t="n"/>
      <c r="O29" s="6" t="n"/>
      <c r="P29" s="6" t="n"/>
      <c r="Q29" s="48" t="inlineStr"/>
    </row>
    <row r="30" ht="27" customHeight="1" s="33">
      <c r="A30" s="35" t="n"/>
      <c r="B30" s="35" t="n"/>
      <c r="C30" s="34" t="inlineStr">
        <is>
          <t>Excel</t>
        </is>
      </c>
      <c r="D30" s="34" t="inlineStr">
        <is>
          <t>AD230_TC_025</t>
        </is>
      </c>
      <c r="E30" s="13">
        <f>IFERROR(VLOOKUP($D30, '테스트 케이스'!$D$6:$G$1001, 2, FALSE), "")</f>
        <v/>
      </c>
      <c r="F30" s="13">
        <f>IFERROR(VLOOKUP($D30, '테스트 케이스'!$D$6:$G$1001, 3, FALSE), "")</f>
        <v/>
      </c>
      <c r="G30" s="13">
        <f>IFERROR(VLOOKUP($D30, '테스트 케이스'!$D$6:$G$1001, 4, FALSE), "")</f>
        <v/>
      </c>
      <c r="H30" s="5" t="inlineStr">
        <is>
          <t>최신영</t>
        </is>
      </c>
      <c r="I30" s="15" t="inlineStr">
        <is>
          <t>정상</t>
        </is>
      </c>
      <c r="J30" s="47" t="inlineStr"/>
      <c r="K30" s="27" t="inlineStr">
        <is>
          <t>2026-10-19</t>
        </is>
      </c>
      <c r="L30" s="5" t="inlineStr"/>
      <c r="M30" s="6" t="n"/>
      <c r="N30" s="6" t="n"/>
      <c r="O30" s="6" t="n"/>
      <c r="P30" s="6" t="n"/>
      <c r="Q30" s="48" t="inlineStr"/>
    </row>
    <row r="31" ht="31.15" customHeight="1" s="33">
      <c r="A31" s="35" t="n"/>
      <c r="B31" s="35" t="n"/>
      <c r="C31" s="34" t="inlineStr">
        <is>
          <t>Setting</t>
        </is>
      </c>
      <c r="D31" s="34" t="inlineStr">
        <is>
          <t>AD230_TC_026</t>
        </is>
      </c>
      <c r="E31" s="13">
        <f>IFERROR(VLOOKUP($D31, '테스트 케이스'!$D$6:$G$1001, 2, FALSE), "")</f>
        <v/>
      </c>
      <c r="F31" s="13">
        <f>IFERROR(VLOOKUP($D31, '테스트 케이스'!$D$6:$G$1001, 3, FALSE), "")</f>
        <v/>
      </c>
      <c r="G31" s="13">
        <f>IFERROR(VLOOKUP($D31, '테스트 케이스'!$D$6:$G$1001, 4, FALSE), "")</f>
        <v/>
      </c>
      <c r="H31" s="5" t="inlineStr">
        <is>
          <t>최신영</t>
        </is>
      </c>
      <c r="I31" s="15" t="inlineStr">
        <is>
          <t>정상</t>
        </is>
      </c>
      <c r="J31" s="47" t="inlineStr"/>
      <c r="K31" s="27" t="inlineStr">
        <is>
          <t>2026-10-19</t>
        </is>
      </c>
      <c r="L31" s="5" t="inlineStr"/>
      <c r="M31" s="6" t="n"/>
      <c r="N31" s="6" t="n"/>
      <c r="O31" s="6" t="n"/>
      <c r="P31" s="6" t="n"/>
      <c r="Q31" s="48" t="inlineStr"/>
    </row>
    <row r="32" ht="31.15" customHeight="1" s="33">
      <c r="A32" s="35" t="n"/>
      <c r="B32" s="35" t="n"/>
      <c r="C32" s="34" t="inlineStr">
        <is>
          <t>일정생성</t>
        </is>
      </c>
      <c r="D32" s="34" t="inlineStr">
        <is>
          <t>AD230_TC_027</t>
        </is>
      </c>
      <c r="E32" s="13">
        <f>IFERROR(VLOOKUP($D32, '테스트 케이스'!$D$6:$G$1001, 2, FALSE), "")</f>
        <v/>
      </c>
      <c r="F32" s="13">
        <f>IFERROR(VLOOKUP($D32, '테스트 케이스'!$D$6:$G$1001, 3, FALSE), "")</f>
        <v/>
      </c>
      <c r="G32" s="13">
        <f>IFERROR(VLOOKUP($D32, '테스트 케이스'!$D$6:$G$1001, 4, FALSE), "")</f>
        <v/>
      </c>
      <c r="H32" s="5" t="inlineStr">
        <is>
          <t>최신영</t>
        </is>
      </c>
      <c r="I32" s="15" t="inlineStr">
        <is>
          <t>정상</t>
        </is>
      </c>
      <c r="J32" s="47" t="inlineStr"/>
      <c r="K32" s="27" t="inlineStr">
        <is>
          <t>2026-10-19</t>
        </is>
      </c>
      <c r="L32" s="5" t="inlineStr"/>
      <c r="M32" s="6" t="n"/>
      <c r="N32" s="6" t="n"/>
      <c r="O32" s="6" t="n"/>
      <c r="P32" s="6" t="n"/>
      <c r="Q32" s="48" t="inlineStr"/>
    </row>
    <row r="33" ht="31.15" customHeight="1" s="33">
      <c r="A33" s="35" t="n"/>
      <c r="B33" s="35" t="n"/>
      <c r="C33" s="36" t="n"/>
      <c r="D33" s="34" t="inlineStr">
        <is>
          <t>AD230_TC_028</t>
        </is>
      </c>
      <c r="E33" s="13">
        <f>IFERROR(VLOOKUP($D33, '테스트 케이스'!$D$6:$G$1001, 2, FALSE), "")</f>
        <v/>
      </c>
      <c r="F33" s="13">
        <f>IFERROR(VLOOKUP($D33, '테스트 케이스'!$D$6:$G$1001, 3, FALSE), "")</f>
        <v/>
      </c>
      <c r="G33" s="13">
        <f>IFERROR(VLOOKUP($D33, '테스트 케이스'!$D$6:$G$1001, 4, FALSE), "")</f>
        <v/>
      </c>
      <c r="H33" s="5" t="inlineStr">
        <is>
          <t>최신영</t>
        </is>
      </c>
      <c r="I33" s="15" t="inlineStr">
        <is>
          <t>정상</t>
        </is>
      </c>
      <c r="J33" s="47" t="inlineStr">
        <is>
          <t>[개선] 저장 전(새 생성 폼)에 [일정생성]을 누르면 확인창도 안내도 없이 아무 반응이 없음.
참고: 저장된 주기에서 [일정생성]을 눌러도 완료 안내는 없음 (계획은 생성됨).</t>
        </is>
      </c>
      <c r="K33" s="27" t="inlineStr">
        <is>
          <t>2026-10-19</t>
        </is>
      </c>
      <c r="L33" s="5" t="inlineStr"/>
      <c r="M33" s="6" t="n"/>
      <c r="N33" s="6" t="n"/>
      <c r="O33" s="6" t="n"/>
      <c r="P33" s="6" t="n"/>
      <c r="Q33" s="48" t="inlineStr"/>
    </row>
    <row r="34" ht="27" customHeight="1" s="33">
      <c r="A34" s="35" t="n"/>
      <c r="B34" s="35" t="n"/>
      <c r="C34" s="34" t="inlineStr">
        <is>
          <t>Linked</t>
        </is>
      </c>
      <c r="D34" s="34" t="inlineStr">
        <is>
          <t>AD230_TC_029</t>
        </is>
      </c>
      <c r="E34" s="13">
        <f>IFERROR(VLOOKUP($D34, '테스트 케이스'!$D$6:$G$1001, 2, FALSE), "")</f>
        <v/>
      </c>
      <c r="F34" s="13">
        <f>IFERROR(VLOOKUP($D34, '테스트 케이스'!$D$6:$G$1001, 3, FALSE), "")</f>
        <v/>
      </c>
      <c r="G34" s="13">
        <f>IFERROR(VLOOKUP($D34, '테스트 케이스'!$D$6:$G$1001, 4, FALSE), "")</f>
        <v/>
      </c>
      <c r="H34" s="5" t="inlineStr">
        <is>
          <t>최신영</t>
        </is>
      </c>
      <c r="I34" s="15" t="inlineStr">
        <is>
          <t>정상</t>
        </is>
      </c>
      <c r="J34" s="47" t="inlineStr"/>
      <c r="K34" s="27" t="inlineStr">
        <is>
          <t>2026-10-19</t>
        </is>
      </c>
      <c r="L34" s="5" t="inlineStr"/>
      <c r="M34" s="6" t="n"/>
      <c r="N34" s="6" t="n"/>
      <c r="O34" s="6" t="n"/>
      <c r="P34" s="6" t="n"/>
      <c r="Q34" s="48" t="inlineStr"/>
    </row>
    <row r="35" ht="31.15" customHeight="1" s="33">
      <c r="A35" s="35" t="n"/>
      <c r="B35" s="36" t="n"/>
      <c r="C35" s="36" t="n"/>
      <c r="D35" s="34" t="inlineStr">
        <is>
          <t>AD230_TC_030</t>
        </is>
      </c>
      <c r="E35" s="13">
        <f>IFERROR(VLOOKUP($D35, '테스트 케이스'!$D$6:$G$1001, 2, FALSE), "")</f>
        <v/>
      </c>
      <c r="F35" s="13">
        <f>IFERROR(VLOOKUP($D35, '테스트 케이스'!$D$6:$G$1001, 3, FALSE), "")</f>
        <v/>
      </c>
      <c r="G35" s="13">
        <f>IFERROR(VLOOKUP($D35, '테스트 케이스'!$D$6:$G$1001, 4, FALSE), "")</f>
        <v/>
      </c>
      <c r="H35" s="5" t="inlineStr">
        <is>
          <t>최신영</t>
        </is>
      </c>
      <c r="I35" s="15" t="inlineStr">
        <is>
          <t>정상</t>
        </is>
      </c>
      <c r="J35" s="47" t="inlineStr"/>
      <c r="K35" s="27" t="inlineStr">
        <is>
          <t>2026-10-19</t>
        </is>
      </c>
      <c r="L35" s="5" t="inlineStr"/>
      <c r="M35" s="6" t="n"/>
      <c r="N35" s="6" t="n"/>
      <c r="O35" s="6" t="n"/>
      <c r="P35" s="6" t="n"/>
      <c r="Q35" s="48" t="inlineStr"/>
    </row>
    <row r="36" ht="31.15" customHeight="1" s="33">
      <c r="A36" s="35" t="n"/>
      <c r="B36" s="34" t="inlineStr">
        <is>
          <t>설비</t>
        </is>
      </c>
      <c r="C36" s="34" t="inlineStr">
        <is>
          <t>탭조회</t>
        </is>
      </c>
      <c r="D36" s="34" t="inlineStr">
        <is>
          <t>AD230_TC_031</t>
        </is>
      </c>
      <c r="E36" s="13">
        <f>IFERROR(VLOOKUP($D36, '테스트 케이스'!$D$6:$G$1001, 2, FALSE), "")</f>
        <v/>
      </c>
      <c r="F36" s="13">
        <f>IFERROR(VLOOKUP($D36, '테스트 케이스'!$D$6:$G$1001, 3, FALSE), "")</f>
        <v/>
      </c>
      <c r="G36" s="13">
        <f>IFERROR(VLOOKUP($D36, '테스트 케이스'!$D$6:$G$1001, 4, FALSE), "")</f>
        <v/>
      </c>
      <c r="H36" s="5" t="inlineStr">
        <is>
          <t>최신영</t>
        </is>
      </c>
      <c r="I36" s="15" t="inlineStr">
        <is>
          <t>정상</t>
        </is>
      </c>
      <c r="J36" s="47" t="inlineStr"/>
      <c r="K36" s="27" t="inlineStr">
        <is>
          <t>2026-10-19</t>
        </is>
      </c>
      <c r="L36" s="5" t="inlineStr"/>
      <c r="M36" s="6" t="n"/>
      <c r="N36" s="6" t="n"/>
      <c r="O36" s="6" t="n"/>
      <c r="P36" s="6" t="n"/>
      <c r="Q36" s="48" t="inlineStr"/>
    </row>
    <row r="37" ht="31.15" customHeight="1" s="33">
      <c r="A37" s="35" t="n"/>
      <c r="B37" s="35" t="n"/>
      <c r="C37" s="34" t="inlineStr">
        <is>
          <t>탭생성</t>
        </is>
      </c>
      <c r="D37" s="34" t="inlineStr">
        <is>
          <t>AD230_TC_032</t>
        </is>
      </c>
      <c r="E37" s="13">
        <f>IFERROR(VLOOKUP($D37, '테스트 케이스'!$D$6:$G$1001, 2, FALSE), "")</f>
        <v/>
      </c>
      <c r="F37" s="13">
        <f>IFERROR(VLOOKUP($D37, '테스트 케이스'!$D$6:$G$1001, 3, FALSE), "")</f>
        <v/>
      </c>
      <c r="G37" s="13">
        <f>IFERROR(VLOOKUP($D37, '테스트 케이스'!$D$6:$G$1001, 4, FALSE), "")</f>
        <v/>
      </c>
      <c r="H37" s="5" t="inlineStr">
        <is>
          <t>최신영</t>
        </is>
      </c>
      <c r="I37" s="15" t="inlineStr">
        <is>
          <t>정상</t>
        </is>
      </c>
      <c r="J37" s="47" t="inlineStr"/>
      <c r="K37" s="27" t="inlineStr">
        <is>
          <t>2026-10-19</t>
        </is>
      </c>
      <c r="L37" s="5" t="inlineStr"/>
      <c r="M37" s="6" t="n"/>
      <c r="N37" s="6" t="n"/>
      <c r="O37" s="6" t="n"/>
      <c r="P37" s="6" t="n"/>
      <c r="Q37" s="48" t="inlineStr"/>
    </row>
    <row r="38" ht="31.15" customHeight="1" s="33">
      <c r="A38" s="35" t="n"/>
      <c r="B38" s="35" t="n"/>
      <c r="C38" s="36" t="n"/>
      <c r="D38" s="34" t="inlineStr">
        <is>
          <t>AD230_TC_033</t>
        </is>
      </c>
      <c r="E38" s="13">
        <f>IFERROR(VLOOKUP($D38, '테스트 케이스'!$D$6:$G$1001, 2, FALSE), "")</f>
        <v/>
      </c>
      <c r="F38" s="13">
        <f>IFERROR(VLOOKUP($D38, '테스트 케이스'!$D$6:$G$1001, 3, FALSE), "")</f>
        <v/>
      </c>
      <c r="G38" s="13">
        <f>IFERROR(VLOOKUP($D38, '테스트 케이스'!$D$6:$G$1001, 4, FALSE), "")</f>
        <v/>
      </c>
      <c r="H38" s="5" t="inlineStr">
        <is>
          <t>최신영</t>
        </is>
      </c>
      <c r="I38" s="15" t="inlineStr">
        <is>
          <t>정상</t>
        </is>
      </c>
      <c r="J38" s="47" t="inlineStr"/>
      <c r="K38" s="27" t="inlineStr">
        <is>
          <t>2026-10-19</t>
        </is>
      </c>
      <c r="L38" s="5" t="inlineStr"/>
      <c r="M38" s="6" t="n"/>
      <c r="N38" s="6" t="n"/>
      <c r="O38" s="6" t="n"/>
      <c r="P38" s="6" t="n"/>
      <c r="Q38" s="48" t="inlineStr"/>
    </row>
    <row r="39" ht="31.15" customHeight="1" s="33">
      <c r="A39" s="35" t="n"/>
      <c r="B39" s="35" t="n"/>
      <c r="C39" s="34" t="inlineStr">
        <is>
          <t>탭수정</t>
        </is>
      </c>
      <c r="D39" s="34" t="inlineStr">
        <is>
          <t>AD230_TC_034</t>
        </is>
      </c>
      <c r="E39" s="13">
        <f>IFERROR(VLOOKUP($D39, '테스트 케이스'!$D$6:$G$1001, 2, FALSE), "")</f>
        <v/>
      </c>
      <c r="F39" s="13">
        <f>IFERROR(VLOOKUP($D39, '테스트 케이스'!$D$6:$G$1001, 3, FALSE), "")</f>
        <v/>
      </c>
      <c r="G39" s="13">
        <f>IFERROR(VLOOKUP($D39, '테스트 케이스'!$D$6:$G$1001, 4, FALSE), "")</f>
        <v/>
      </c>
      <c r="H39" s="5" t="inlineStr">
        <is>
          <t>최신영</t>
        </is>
      </c>
      <c r="I39" s="15" t="inlineStr">
        <is>
          <t>정상</t>
        </is>
      </c>
      <c r="J39" s="47" t="inlineStr"/>
      <c r="K39" s="27" t="inlineStr">
        <is>
          <t>2026-10-19</t>
        </is>
      </c>
      <c r="L39" s="5" t="inlineStr"/>
      <c r="M39" s="6" t="n"/>
      <c r="N39" s="6" t="n"/>
      <c r="O39" s="6" t="n"/>
      <c r="P39" s="6" t="n"/>
      <c r="Q39" s="48" t="inlineStr"/>
    </row>
    <row r="40" ht="31.15" customHeight="1" s="33">
      <c r="A40" s="35" t="n"/>
      <c r="B40" s="35" t="n"/>
      <c r="C40" s="34" t="inlineStr">
        <is>
          <t>탭삭제</t>
        </is>
      </c>
      <c r="D40" s="34" t="inlineStr">
        <is>
          <t>AD230_TC_035</t>
        </is>
      </c>
      <c r="E40" s="13">
        <f>IFERROR(VLOOKUP($D40, '테스트 케이스'!$D$6:$G$1001, 2, FALSE), "")</f>
        <v/>
      </c>
      <c r="F40" s="13">
        <f>IFERROR(VLOOKUP($D40, '테스트 케이스'!$D$6:$G$1001, 3, FALSE), "")</f>
        <v/>
      </c>
      <c r="G40" s="13">
        <f>IFERROR(VLOOKUP($D40, '테스트 케이스'!$D$6:$G$1001, 4, FALSE), "")</f>
        <v/>
      </c>
      <c r="H40" s="5" t="inlineStr">
        <is>
          <t>최신영</t>
        </is>
      </c>
      <c r="I40" s="15" t="inlineStr">
        <is>
          <t>정상</t>
        </is>
      </c>
      <c r="J40" s="47" t="inlineStr">
        <is>
          <t>[개선] 체크 없이 [삭제] → '선택하세요' 안내 없이 바로 '삭제 하시겠습니까?' 확인창이 뜸 (Cancel 로 닫음, 지워진 것 없음).
100305AG17 체크 삭제 → 2 → 1행, 100302AG13 은 남음 (정상).</t>
        </is>
      </c>
      <c r="K40" s="27" t="inlineStr">
        <is>
          <t>2026-10-19</t>
        </is>
      </c>
      <c r="L40" s="5" t="inlineStr">
        <is>
          <t>TC_041_체크없이삭제_확인창.png (점검항목 목록과 같은 동작)</t>
        </is>
      </c>
      <c r="M40" s="6" t="n"/>
      <c r="N40" s="6" t="n"/>
      <c r="O40" s="6" t="n"/>
      <c r="P40" s="6" t="n"/>
      <c r="Q40" s="48" t="inlineStr"/>
    </row>
    <row r="41" ht="27" customHeight="1" s="33">
      <c r="A41" s="35" t="n"/>
      <c r="B41" s="36" t="n"/>
      <c r="C41" s="34" t="inlineStr">
        <is>
          <t>탭Excel</t>
        </is>
      </c>
      <c r="D41" s="34" t="inlineStr">
        <is>
          <t>AD230_TC_036</t>
        </is>
      </c>
      <c r="E41" s="13">
        <f>IFERROR(VLOOKUP($D41, '테스트 케이스'!$D$6:$G$1001, 2, FALSE), "")</f>
        <v/>
      </c>
      <c r="F41" s="13">
        <f>IFERROR(VLOOKUP($D41, '테스트 케이스'!$D$6:$G$1001, 3, FALSE), "")</f>
        <v/>
      </c>
      <c r="G41" s="13">
        <f>IFERROR(VLOOKUP($D41, '테스트 케이스'!$D$6:$G$1001, 4, FALSE), "")</f>
        <v/>
      </c>
      <c r="H41" s="5" t="inlineStr">
        <is>
          <t>최신영</t>
        </is>
      </c>
      <c r="I41" s="15" t="inlineStr">
        <is>
          <t>정상</t>
        </is>
      </c>
      <c r="J41" s="47" t="inlineStr"/>
      <c r="K41" s="27" t="inlineStr">
        <is>
          <t>2026-10-19</t>
        </is>
      </c>
      <c r="L41" s="5" t="inlineStr"/>
      <c r="M41" s="6" t="n"/>
      <c r="N41" s="6" t="n"/>
      <c r="O41" s="6" t="n"/>
      <c r="P41" s="6" t="n"/>
      <c r="Q41" s="48" t="inlineStr"/>
    </row>
    <row r="42" ht="31.15" customHeight="1" s="33">
      <c r="A42" s="35" t="n"/>
      <c r="B42" s="34" t="inlineStr">
        <is>
          <t>표준작업</t>
        </is>
      </c>
      <c r="C42" s="34" t="inlineStr">
        <is>
          <t>탭생성/삭제</t>
        </is>
      </c>
      <c r="D42" s="34" t="inlineStr">
        <is>
          <t>AD230_TC_037</t>
        </is>
      </c>
      <c r="E42" s="13">
        <f>IFERROR(VLOOKUP($D42, '테스트 케이스'!$D$6:$G$1001, 2, FALSE), "")</f>
        <v/>
      </c>
      <c r="F42" s="13">
        <f>IFERROR(VLOOKUP($D42, '테스트 케이스'!$D$6:$G$1001, 3, FALSE), "")</f>
        <v/>
      </c>
      <c r="G42" s="13">
        <f>IFERROR(VLOOKUP($D42, '테스트 케이스'!$D$6:$G$1001, 4, FALSE), "")</f>
        <v/>
      </c>
      <c r="H42" s="5" t="inlineStr">
        <is>
          <t>최신영</t>
        </is>
      </c>
      <c r="I42" s="15" t="inlineStr">
        <is>
          <t>정상</t>
        </is>
      </c>
      <c r="J42" s="47" t="inlineStr"/>
      <c r="K42" s="27" t="inlineStr">
        <is>
          <t>2026-10-19</t>
        </is>
      </c>
      <c r="L42" s="5" t="inlineStr"/>
      <c r="M42" s="6" t="n"/>
      <c r="N42" s="6" t="n"/>
      <c r="O42" s="6" t="n"/>
      <c r="P42" s="6" t="n"/>
      <c r="Q42" s="48" t="inlineStr"/>
    </row>
    <row r="43" ht="31.15" customHeight="1" s="33">
      <c r="A43" s="35" t="n"/>
      <c r="B43" s="34" t="inlineStr">
        <is>
          <t>점검</t>
        </is>
      </c>
      <c r="C43" s="34" t="inlineStr">
        <is>
          <t>탭생성</t>
        </is>
      </c>
      <c r="D43" s="34" t="inlineStr">
        <is>
          <t>AD230_TC_038</t>
        </is>
      </c>
      <c r="E43" s="13">
        <f>IFERROR(VLOOKUP($D43, '테스트 케이스'!$D$6:$G$1001, 2, FALSE), "")</f>
        <v/>
      </c>
      <c r="F43" s="13">
        <f>IFERROR(VLOOKUP($D43, '테스트 케이스'!$D$6:$G$1001, 3, FALSE), "")</f>
        <v/>
      </c>
      <c r="G43" s="13">
        <f>IFERROR(VLOOKUP($D43, '테스트 케이스'!$D$6:$G$1001, 4, FALSE), "")</f>
        <v/>
      </c>
      <c r="H43" s="5" t="inlineStr">
        <is>
          <t>최신영</t>
        </is>
      </c>
      <c r="I43" s="15" t="inlineStr">
        <is>
          <t>정상</t>
        </is>
      </c>
      <c r="J43" s="47" t="inlineStr"/>
      <c r="K43" s="27" t="inlineStr">
        <is>
          <t>2026-10-19</t>
        </is>
      </c>
      <c r="L43" s="5" t="inlineStr"/>
      <c r="M43" s="6" t="n"/>
      <c r="N43" s="6" t="n"/>
      <c r="O43" s="6" t="n"/>
      <c r="P43" s="6" t="n"/>
      <c r="Q43" s="48" t="inlineStr"/>
    </row>
    <row r="44" ht="31.15" customHeight="1" s="33">
      <c r="A44" s="35" t="n"/>
      <c r="B44" s="35" t="n"/>
      <c r="C44" s="34" t="inlineStr">
        <is>
          <t>표준항목선택</t>
        </is>
      </c>
      <c r="D44" s="34" t="inlineStr">
        <is>
          <t>AD230_TC_039</t>
        </is>
      </c>
      <c r="E44" s="13">
        <f>IFERROR(VLOOKUP($D44, '테스트 케이스'!$D$6:$G$1001, 2, FALSE), "")</f>
        <v/>
      </c>
      <c r="F44" s="13">
        <f>IFERROR(VLOOKUP($D44, '테스트 케이스'!$D$6:$G$1001, 3, FALSE), "")</f>
        <v/>
      </c>
      <c r="G44" s="13">
        <f>IFERROR(VLOOKUP($D44, '테스트 케이스'!$D$6:$G$1001, 4, FALSE), "")</f>
        <v/>
      </c>
      <c r="H44" s="5" t="inlineStr">
        <is>
          <t>최신영</t>
        </is>
      </c>
      <c r="I44" s="15" t="inlineStr"/>
      <c r="J44" s="47" t="inlineStr">
        <is>
          <t>[미수행] 보류 (답변 대기): 테스트용 표준작업 1683 '[sychoi] High Speed Mixer 정기점검 표준작업'(설비종류 믹서, 점검항목 2건)을 만들어 확정(적용)하고 8007 에 붙였으나 [표준항목선택] 팝업이 계속 0건.
설비 100302AG13 의 설비종류가 비어 있어서로 추정 → 설비종류 입력 여부 확인 필요.</t>
        </is>
      </c>
      <c r="K44" s="27" t="inlineStr">
        <is>
          <t>2026-10-19</t>
        </is>
      </c>
      <c r="L44" s="5" t="inlineStr"/>
      <c r="M44" s="6" t="n"/>
      <c r="N44" s="6" t="n"/>
      <c r="O44" s="6" t="n"/>
      <c r="P44" s="6" t="n"/>
      <c r="Q44" s="48" t="inlineStr"/>
    </row>
    <row r="45" ht="27" customHeight="1" s="33">
      <c r="A45" s="35" t="n"/>
      <c r="B45" s="35" t="n"/>
      <c r="C45" s="34" t="inlineStr">
        <is>
          <t>탭수정</t>
        </is>
      </c>
      <c r="D45" s="34" t="inlineStr">
        <is>
          <t>AD230_TC_040</t>
        </is>
      </c>
      <c r="E45" s="13">
        <f>IFERROR(VLOOKUP($D45, '테스트 케이스'!$D$6:$G$1001, 2, FALSE), "")</f>
        <v/>
      </c>
      <c r="F45" s="13">
        <f>IFERROR(VLOOKUP($D45, '테스트 케이스'!$D$6:$G$1001, 3, FALSE), "")</f>
        <v/>
      </c>
      <c r="G45" s="13">
        <f>IFERROR(VLOOKUP($D45, '테스트 케이스'!$D$6:$G$1001, 4, FALSE), "")</f>
        <v/>
      </c>
      <c r="H45" s="5" t="inlineStr">
        <is>
          <t>최신영</t>
        </is>
      </c>
      <c r="I45" s="15" t="inlineStr">
        <is>
          <t>정상</t>
        </is>
      </c>
      <c r="J45" s="47" t="inlineStr"/>
      <c r="K45" s="27" t="inlineStr">
        <is>
          <t>2026-10-19</t>
        </is>
      </c>
      <c r="L45" s="5" t="inlineStr"/>
      <c r="M45" s="6" t="n"/>
      <c r="N45" s="6" t="n"/>
      <c r="O45" s="6" t="n"/>
      <c r="P45" s="6" t="n"/>
      <c r="Q45" s="48" t="inlineStr"/>
    </row>
    <row r="46" ht="31.15" customHeight="1" s="33">
      <c r="A46" s="35" t="n"/>
      <c r="B46" s="36" t="n"/>
      <c r="C46" s="34" t="inlineStr">
        <is>
          <t>탭삭제</t>
        </is>
      </c>
      <c r="D46" s="34" t="inlineStr">
        <is>
          <t>AD230_TC_041</t>
        </is>
      </c>
      <c r="E46" s="13">
        <f>IFERROR(VLOOKUP($D46, '테스트 케이스'!$D$6:$G$1001, 2, FALSE), "")</f>
        <v/>
      </c>
      <c r="F46" s="13">
        <f>IFERROR(VLOOKUP($D46, '테스트 케이스'!$D$6:$G$1001, 3, FALSE), "")</f>
        <v/>
      </c>
      <c r="G46" s="13">
        <f>IFERROR(VLOOKUP($D46, '테스트 케이스'!$D$6:$G$1001, 4, FALSE), "")</f>
        <v/>
      </c>
      <c r="H46" s="5" t="inlineStr">
        <is>
          <t>최신영</t>
        </is>
      </c>
      <c r="I46" s="15" t="inlineStr">
        <is>
          <t>정상</t>
        </is>
      </c>
      <c r="J46" s="47" t="inlineStr">
        <is>
          <t>[개선] 체크 없이 [삭제] → '선택하세요' 안내 없이 바로 '삭제 하시겠습니까?' 확인창이 뜸 (Cancel 로 닫음, 지워진 것 없음).
테스트가 추가한 '[sychoi] 메인 베어링 표면온도' 체크 삭제 → 2 → 1행 (정상).</t>
        </is>
      </c>
      <c r="K46" s="27" t="inlineStr">
        <is>
          <t>2026-10-19</t>
        </is>
      </c>
      <c r="L46" s="5" t="inlineStr">
        <is>
          <t>TC_041_체크없이삭제_확인창.png</t>
        </is>
      </c>
      <c r="M46" s="6" t="n"/>
      <c r="N46" s="6" t="n"/>
      <c r="O46" s="6" t="n"/>
      <c r="P46" s="6" t="n"/>
      <c r="Q46" s="48" t="inlineStr"/>
    </row>
    <row r="47" ht="31.15" customHeight="1" s="33">
      <c r="A47" s="36" t="n"/>
      <c r="B47" s="34" t="inlineStr">
        <is>
          <t>첨부문서</t>
        </is>
      </c>
      <c r="C47" s="34" t="inlineStr">
        <is>
          <t>탭생성/삭제</t>
        </is>
      </c>
      <c r="D47" s="34" t="inlineStr">
        <is>
          <t>AD230_TC_042</t>
        </is>
      </c>
      <c r="E47" s="13">
        <f>IFERROR(VLOOKUP($D47, '테스트 케이스'!$D$6:$G$1001, 2, FALSE), "")</f>
        <v/>
      </c>
      <c r="F47" s="13">
        <f>IFERROR(VLOOKUP($D47, '테스트 케이스'!$D$6:$G$1001, 3, FALSE), "")</f>
        <v/>
      </c>
      <c r="G47" s="13">
        <f>IFERROR(VLOOKUP($D47, '테스트 케이스'!$D$6:$G$1001, 4, FALSE), "")</f>
        <v/>
      </c>
      <c r="H47" s="5" t="inlineStr">
        <is>
          <t>최신영</t>
        </is>
      </c>
      <c r="I47" s="15" t="inlineStr">
        <is>
          <t>정상</t>
        </is>
      </c>
      <c r="J47" s="47" t="inlineStr"/>
      <c r="K47" s="27" t="inlineStr">
        <is>
          <t>2026-10-19</t>
        </is>
      </c>
      <c r="L47" s="5" t="inlineStr"/>
      <c r="M47" s="6" t="n"/>
      <c r="N47" s="6" t="n"/>
      <c r="O47" s="6" t="n"/>
      <c r="P47" s="6" t="n"/>
      <c r="Q47" s="48" t="inlineStr"/>
    </row>
    <row r="48" ht="31.15" customHeight="1" s="33"/>
    <row r="49" ht="31.15" customHeight="1" s="33"/>
    <row r="50" ht="54" customHeight="1" s="33">
      <c r="A50" s="0" t="inlineStr">
        <is>
          <t>엣지케이스</t>
        </is>
      </c>
    </row>
    <row r="51" ht="40.5" customHeight="1" s="33">
      <c r="A51" s="20" t="inlineStr">
        <is>
          <t>메뉴명</t>
        </is>
      </c>
      <c r="B51" s="21" t="inlineStr">
        <is>
          <t>탭 명</t>
        </is>
      </c>
      <c r="C51" s="20" t="inlineStr">
        <is>
          <t>기능</t>
        </is>
      </c>
      <c r="D51" s="20" t="inlineStr">
        <is>
          <t>테스트ID</t>
        </is>
      </c>
      <c r="E51" s="20" t="inlineStr">
        <is>
          <t>CASE</t>
        </is>
      </c>
      <c r="F51" s="20" t="inlineStr">
        <is>
          <t>STEP</t>
        </is>
      </c>
      <c r="G51" s="20" t="inlineStr">
        <is>
          <t>테스트 예상 결과</t>
        </is>
      </c>
      <c r="H51" s="22" t="inlineStr">
        <is>
          <t>QA</t>
        </is>
      </c>
      <c r="I51" s="22" t="inlineStr">
        <is>
          <t>QA결과 
(정상/오류)</t>
        </is>
      </c>
      <c r="J51" s="22" t="inlineStr">
        <is>
          <t>QA내용</t>
        </is>
      </c>
      <c r="K51" s="23" t="inlineStr">
        <is>
          <t>QA날짜</t>
        </is>
      </c>
      <c r="L51" s="23" t="inlineStr">
        <is>
          <t>첨부파일</t>
        </is>
      </c>
      <c r="M51" s="24" t="inlineStr">
        <is>
          <t>Dev</t>
        </is>
      </c>
      <c r="N51" s="24" t="inlineStr">
        <is>
          <t>조치결과
(완료/불가/보류)</t>
        </is>
      </c>
      <c r="O51" s="25" t="inlineStr">
        <is>
          <t>조치내용</t>
        </is>
      </c>
      <c r="P51" s="26" t="inlineStr">
        <is>
          <t>조치날짜</t>
        </is>
      </c>
    </row>
    <row r="52" ht="62.45" customHeight="1" s="33">
      <c r="A52" s="34" t="inlineStr">
        <is>
          <t>정기점검주기_AD230</t>
        </is>
      </c>
      <c r="B52" s="34" t="inlineStr">
        <is>
          <t>설비, 점검</t>
        </is>
      </c>
      <c r="C52" s="34" t="inlineStr">
        <is>
          <t>일정생성</t>
        </is>
      </c>
      <c r="D52" s="34" t="inlineStr">
        <is>
          <t>AD230_EC_001</t>
        </is>
      </c>
      <c r="E52" s="13">
        <f>IFERROR(VLOOKUP($D52, '테스트 케이스'!$D$6:$G$1001, 2, FALSE), "")</f>
        <v/>
      </c>
      <c r="F52" s="13">
        <f>IFERROR(VLOOKUP($D52, '테스트 케이스'!$D$6:$G$1001, 3, FALSE), "")</f>
        <v/>
      </c>
      <c r="G52" s="13">
        <f>IFERROR(VLOOKUP($D52, '테스트 케이스'!$D$6:$G$1001, 4, FALSE), "")</f>
        <v/>
      </c>
      <c r="H52" s="5" t="inlineStr">
        <is>
          <t>최신영</t>
        </is>
      </c>
      <c r="I52" s="15" t="inlineStr"/>
      <c r="J52" s="47" t="inlineStr">
        <is>
          <t>[미수행] 이번 차수 보류 (데이터 확인 필요): UBM, 사용량 160시간, 몇시간전 80, 사용달력 '1라인 사용달력', 재조정 Y 로 주기 8025 를 만들고 일정생성 → 계획 0건.
사용달력에 일별 사용량이 없어서로 보임. 사용달력일별횟수설정 데이터를 넣거나, 데이터가 있는 사용달력을 알려주시면 실행 가능.</t>
        </is>
      </c>
      <c r="K52" s="27" t="inlineStr">
        <is>
          <t>2026-10-19</t>
        </is>
      </c>
      <c r="L52" s="5" t="inlineStr"/>
      <c r="M52" s="6" t="n"/>
      <c r="N52" s="6" t="n"/>
      <c r="O52" s="6" t="n"/>
      <c r="P52" s="6" t="n"/>
      <c r="Q52" s="48" t="inlineStr">
        <is>
          <t>8025</t>
        </is>
      </c>
    </row>
    <row r="53" ht="31.15" customHeight="1" s="33">
      <c r="A53" s="35" t="n"/>
      <c r="B53" s="35" t="n"/>
      <c r="C53" s="34" t="inlineStr">
        <is>
          <t>일정생성</t>
        </is>
      </c>
      <c r="D53" s="34" t="inlineStr">
        <is>
          <t>AD230_EC_002</t>
        </is>
      </c>
      <c r="E53" s="13">
        <f>IFERROR(VLOOKUP($D53, '테스트 케이스'!$D$6:$G$1001, 2, FALSE), "")</f>
        <v/>
      </c>
      <c r="F53" s="13">
        <f>IFERROR(VLOOKUP($D53, '테스트 케이스'!$D$6:$G$1001, 3, FALSE), "")</f>
        <v/>
      </c>
      <c r="G53" s="13">
        <f>IFERROR(VLOOKUP($D53, '테스트 케이스'!$D$6:$G$1001, 4, FALSE), "")</f>
        <v/>
      </c>
      <c r="H53" s="5" t="inlineStr">
        <is>
          <t>최신영</t>
        </is>
      </c>
      <c r="I53" s="15" t="inlineStr"/>
      <c r="J53" s="47" t="inlineStr">
        <is>
          <t>[미수행] 이번 차수 보류: EC_001 과 같이 UBM 계획이 생성되지 않아 진행 불가 (사용달력 데이터 필요)</t>
        </is>
      </c>
      <c r="K53" s="27" t="inlineStr">
        <is>
          <t>2026-10-19</t>
        </is>
      </c>
      <c r="L53" s="5" t="inlineStr"/>
      <c r="M53" s="6" t="n"/>
      <c r="N53" s="6" t="n"/>
      <c r="O53" s="6" t="n"/>
      <c r="P53" s="6" t="n"/>
      <c r="Q53" s="48" t="inlineStr"/>
    </row>
    <row r="54" ht="31.15" customHeight="1" s="33">
      <c r="A54" s="35" t="n"/>
      <c r="B54" s="35" t="n"/>
      <c r="C54" s="35" t="n"/>
      <c r="D54" s="34" t="inlineStr">
        <is>
          <t>AD230_EC_003</t>
        </is>
      </c>
      <c r="E54" s="13">
        <f>IFERROR(VLOOKUP($D54, '테스트 케이스'!$D$6:$G$1001, 2, FALSE), "")</f>
        <v/>
      </c>
      <c r="F54" s="13">
        <f>IFERROR(VLOOKUP($D54, '테스트 케이스'!$D$6:$G$1001, 3, FALSE), "")</f>
        <v/>
      </c>
      <c r="G54" s="13">
        <f>IFERROR(VLOOKUP($D54, '테스트 케이스'!$D$6:$G$1001, 4, FALSE), "")</f>
        <v/>
      </c>
      <c r="H54" s="5" t="inlineStr">
        <is>
          <t>최신영</t>
        </is>
      </c>
      <c r="I54" s="15" t="inlineStr"/>
      <c r="J54" s="47" t="inlineStr">
        <is>
          <t>[미수행] 이번 차수 보류: RBM 도 가동달력 데이터가 있어야 계획이 생성됨 (EC_001 과 같은 원인 예상). 가동달력일별가동시간설정 데이터 필요</t>
        </is>
      </c>
      <c r="K54" s="27" t="inlineStr">
        <is>
          <t>2026-10-19</t>
        </is>
      </c>
      <c r="L54" s="5" t="inlineStr"/>
      <c r="M54" s="6" t="n"/>
      <c r="N54" s="6" t="n"/>
      <c r="O54" s="6" t="n"/>
      <c r="P54" s="6" t="n"/>
      <c r="Q54" s="48" t="inlineStr"/>
    </row>
    <row r="55" ht="31.15" customHeight="1" s="33">
      <c r="A55" s="35" t="n"/>
      <c r="B55" s="35" t="n"/>
      <c r="C55" s="35" t="n"/>
      <c r="D55" s="34" t="inlineStr">
        <is>
          <t>AD230_EC_004</t>
        </is>
      </c>
      <c r="E55" s="13">
        <f>IFERROR(VLOOKUP($D55, '테스트 케이스'!$D$6:$G$1001, 2, FALSE), "")</f>
        <v/>
      </c>
      <c r="F55" s="13">
        <f>IFERROR(VLOOKUP($D55, '테스트 케이스'!$D$6:$G$1001, 3, FALSE), "")</f>
        <v/>
      </c>
      <c r="G55" s="13">
        <f>IFERROR(VLOOKUP($D55, '테스트 케이스'!$D$6:$G$1001, 4, FALSE), "")</f>
        <v/>
      </c>
      <c r="H55" s="5" t="inlineStr">
        <is>
          <t>최신영</t>
        </is>
      </c>
      <c r="I55" s="15" t="inlineStr"/>
      <c r="J55" s="47" t="inlineStr">
        <is>
          <t>[미수행] 이번 차수 보류: EC_003 과 같은 원인 (가동달력 데이터 필요)</t>
        </is>
      </c>
      <c r="K55" s="27" t="inlineStr">
        <is>
          <t>2026-10-19</t>
        </is>
      </c>
      <c r="L55" s="5" t="inlineStr"/>
      <c r="M55" s="6" t="n"/>
      <c r="N55" s="6" t="n"/>
      <c r="O55" s="6" t="n"/>
      <c r="P55" s="6" t="n"/>
      <c r="Q55" s="48" t="inlineStr"/>
    </row>
    <row r="56" ht="31.15" customHeight="1" s="33">
      <c r="A56" s="35" t="n"/>
      <c r="B56" s="36" t="n"/>
      <c r="C56" s="36" t="n"/>
      <c r="D56" s="34" t="inlineStr">
        <is>
          <t>AD230_EC_005</t>
        </is>
      </c>
      <c r="E56" s="13">
        <f>IFERROR(VLOOKUP($D56, '테스트 케이스'!$D$6:$G$1001, 2, FALSE), "")</f>
        <v/>
      </c>
      <c r="F56" s="13">
        <f>IFERROR(VLOOKUP($D56, '테스트 케이스'!$D$6:$G$1001, 3, FALSE), "")</f>
        <v/>
      </c>
      <c r="G56" s="13">
        <f>IFERROR(VLOOKUP($D56, '테스트 케이스'!$D$6:$G$1001, 4, FALSE), "")</f>
        <v/>
      </c>
      <c r="H56" s="5" t="inlineStr">
        <is>
          <t>최신영</t>
        </is>
      </c>
      <c r="I56" s="15" t="inlineStr">
        <is>
          <t>정상</t>
        </is>
      </c>
      <c r="J56" s="47" t="inlineStr"/>
      <c r="K56" s="27" t="inlineStr">
        <is>
          <t>2026-10-19</t>
        </is>
      </c>
      <c r="L56" s="5" t="inlineStr"/>
      <c r="M56" s="6" t="n"/>
      <c r="N56" s="6" t="n"/>
      <c r="O56" s="6" t="n"/>
      <c r="P56" s="6" t="n"/>
      <c r="Q56" s="48" t="inlineStr"/>
    </row>
    <row r="57" ht="31.15" customHeight="1" s="33">
      <c r="A57" s="35" t="n"/>
      <c r="B57" s="34" t="inlineStr">
        <is>
          <t>설비</t>
        </is>
      </c>
      <c r="C57" s="34" t="inlineStr">
        <is>
          <t>일정생성</t>
        </is>
      </c>
      <c r="D57" s="34" t="inlineStr">
        <is>
          <t>AD230_EC_006</t>
        </is>
      </c>
      <c r="E57" s="13">
        <f>IFERROR(VLOOKUP($D57, '테스트 케이스'!$D$6:$G$1001, 2, FALSE), "")</f>
        <v/>
      </c>
      <c r="F57" s="13">
        <f>IFERROR(VLOOKUP($D57, '테스트 케이스'!$D$6:$G$1001, 3, FALSE), "")</f>
        <v/>
      </c>
      <c r="G57" s="13">
        <f>IFERROR(VLOOKUP($D57, '테스트 케이스'!$D$6:$G$1001, 4, FALSE), "")</f>
        <v/>
      </c>
      <c r="H57" s="5" t="inlineStr">
        <is>
          <t>최신영</t>
        </is>
      </c>
      <c r="I57" s="15" t="inlineStr">
        <is>
          <t>오류</t>
        </is>
      </c>
      <c r="J57" s="47" t="inlineStr">
        <is>
          <t>예방작업번호 8017, 설비 100302AG13, 최초작업예정일 2026-11-16
일 주기: 저장 "없음" → 저장값 2 일 주기, 일정생성 "없음" → 계획 49건 [2026-11-16, 2026-11-18, 2026-11-20, 2026-11-24, 2026-11-26, 2026-11-27 …] 간격 불일치 4번째 2026-11-24 (기대 2026-11-22), 5번째 2026-11-26 (기대 2026-11-24), 6번째 2026-11-27 (기대 2026-11-26), 7번째 2026-11-30 (기대 2026-11-28), 8번째 2026-12-02 (기대 2026-11-30), 9번째 2026-12-04 (기대 2026-12-02), 10번째 2026-12-08 (기대 2026-12-04)
오류: Error: expect(received).toEqual(expected) // deep equality
예방작업번호 8017, 설비 100302AG13, 최초작업예정일 2026-11-16
주 주기: 저장 "없음" → 저장값 2 주 주기, 일정생성 "없음" → 계획 27건 [2026-11-16, 2026-11-30, 2026-12-14, 2026-12-28, 2027-01-11, 2027-01-25 …] 간격 일치 (휴일 앞당김 0~3일 허용)
예방작업번호 8017, 설비 100302AG13, 최초작업예정일 2026-11-16
월 주기: 저장 "없음" → 저장값 2 월 주기, 일정생성 "없음" → 계획 7건 [2026-11-16, 2027-01-15, 2027-03-16, 2027-05-14, 2027-07-16, 2027-09-16 …] 간격 일치 (휴일 앞당김 0~3일 허용)
예방작업번호 8017, 설비 100302AG13, 최초작업예정일 2026-11-16
년 주기: 저장 "없음" → 저장값 2 년 주기, 일정생성 "없음" → 계획 1건 [2026-11-16] 간격 일치 (휴일 앞당김 0~3일 허용)</t>
        </is>
      </c>
      <c r="K57" s="27" t="inlineStr">
        <is>
          <t>2026-10-19</t>
        </is>
      </c>
      <c r="L57" s="5" t="inlineStr"/>
      <c r="M57" s="6" t="n"/>
      <c r="N57" s="6" t="n"/>
      <c r="O57" s="6" t="n"/>
      <c r="P57" s="6" t="n"/>
      <c r="Q57" s="48" t="inlineStr"/>
    </row>
    <row r="58" ht="31.15" customHeight="1" s="33">
      <c r="A58" s="35" t="n"/>
      <c r="B58" s="35" t="n"/>
      <c r="C58" s="34" t="inlineStr">
        <is>
          <t>일정생성</t>
        </is>
      </c>
      <c r="D58" s="34" t="inlineStr">
        <is>
          <t>AD230_EC_007</t>
        </is>
      </c>
      <c r="E58" s="13">
        <f>IFERROR(VLOOKUP($D58, '테스트 케이스'!$D$6:$G$1001, 2, FALSE), "")</f>
        <v/>
      </c>
      <c r="F58" s="13">
        <f>IFERROR(VLOOKUP($D58, '테스트 케이스'!$D$6:$G$1001, 3, FALSE), "")</f>
        <v/>
      </c>
      <c r="G58" s="13">
        <f>IFERROR(VLOOKUP($D58, '테스트 케이스'!$D$6:$G$1001, 4, FALSE), "")</f>
        <v/>
      </c>
      <c r="H58" s="5" t="inlineStr">
        <is>
          <t>최신영</t>
        </is>
      </c>
      <c r="I58" s="15" t="inlineStr">
        <is>
          <t>정상</t>
        </is>
      </c>
      <c r="J58" s="47" t="inlineStr"/>
      <c r="K58" s="27" t="inlineStr">
        <is>
          <t>2026-10-19</t>
        </is>
      </c>
      <c r="L58" s="5" t="inlineStr"/>
      <c r="M58" s="6" t="n"/>
      <c r="N58" s="6" t="n"/>
      <c r="O58" s="6" t="n"/>
      <c r="P58" s="6" t="n"/>
      <c r="Q58" s="48" t="inlineStr"/>
    </row>
    <row r="59" ht="31.15" customHeight="1" s="33">
      <c r="A59" s="35" t="n"/>
      <c r="B59" s="35" t="n"/>
      <c r="C59" s="35" t="n"/>
      <c r="D59" s="34" t="inlineStr">
        <is>
          <t>AD230_EC_008</t>
        </is>
      </c>
      <c r="E59" s="13">
        <f>IFERROR(VLOOKUP($D59, '테스트 케이스'!$D$6:$G$1001, 2, FALSE), "")</f>
        <v/>
      </c>
      <c r="F59" s="13">
        <f>IFERROR(VLOOKUP($D59, '테스트 케이스'!$D$6:$G$1001, 3, FALSE), "")</f>
        <v/>
      </c>
      <c r="G59" s="13">
        <f>IFERROR(VLOOKUP($D59, '테스트 케이스'!$D$6:$G$1001, 4, FALSE), "")</f>
        <v/>
      </c>
      <c r="H59" s="5" t="inlineStr">
        <is>
          <t>최신영</t>
        </is>
      </c>
      <c r="I59" s="15" t="inlineStr">
        <is>
          <t>정상</t>
        </is>
      </c>
      <c r="J59" s="47" t="inlineStr"/>
      <c r="K59" s="27" t="inlineStr">
        <is>
          <t>2026-10-19</t>
        </is>
      </c>
      <c r="L59" s="5" t="inlineStr"/>
      <c r="M59" s="6" t="n"/>
      <c r="N59" s="6" t="n"/>
      <c r="O59" s="6" t="n"/>
      <c r="P59" s="6" t="n"/>
      <c r="Q59" s="48" t="inlineStr"/>
    </row>
    <row r="60" ht="27" customHeight="1" s="33">
      <c r="A60" s="35" t="n"/>
      <c r="B60" s="35" t="n"/>
      <c r="C60" s="35" t="n"/>
      <c r="D60" s="34" t="inlineStr">
        <is>
          <t>AD230_EC_009</t>
        </is>
      </c>
      <c r="E60" s="13">
        <f>IFERROR(VLOOKUP($D60, '테스트 케이스'!$D$6:$G$1001, 2, FALSE), "")</f>
        <v/>
      </c>
      <c r="F60" s="13">
        <f>IFERROR(VLOOKUP($D60, '테스트 케이스'!$D$6:$G$1001, 3, FALSE), "")</f>
        <v/>
      </c>
      <c r="G60" s="13">
        <f>IFERROR(VLOOKUP($D60, '테스트 케이스'!$D$6:$G$1001, 4, FALSE), "")</f>
        <v/>
      </c>
      <c r="H60" s="5" t="inlineStr">
        <is>
          <t>최신영</t>
        </is>
      </c>
      <c r="I60" s="15" t="inlineStr">
        <is>
          <t>정상</t>
        </is>
      </c>
      <c r="J60" s="47" t="inlineStr"/>
      <c r="K60" s="27" t="inlineStr">
        <is>
          <t>2026-10-19</t>
        </is>
      </c>
      <c r="L60" s="5" t="inlineStr"/>
      <c r="M60" s="6" t="n"/>
      <c r="N60" s="6" t="n"/>
      <c r="O60" s="6" t="n"/>
      <c r="P60" s="6" t="n"/>
      <c r="Q60" s="48" t="inlineStr"/>
    </row>
    <row r="61" ht="31.15" customHeight="1" s="33">
      <c r="A61" s="35" t="n"/>
      <c r="B61" s="36" t="n"/>
      <c r="C61" s="36" t="n"/>
      <c r="D61" s="34" t="inlineStr">
        <is>
          <t>AD230_EC_010</t>
        </is>
      </c>
      <c r="E61" s="13">
        <f>IFERROR(VLOOKUP($D61, '테스트 케이스'!$D$6:$G$1001, 2, FALSE), "")</f>
        <v/>
      </c>
      <c r="F61" s="13">
        <f>IFERROR(VLOOKUP($D61, '테스트 케이스'!$D$6:$G$1001, 3, FALSE), "")</f>
        <v/>
      </c>
      <c r="G61" s="13">
        <f>IFERROR(VLOOKUP($D61, '테스트 케이스'!$D$6:$G$1001, 4, FALSE), "")</f>
        <v/>
      </c>
      <c r="H61" s="5" t="inlineStr">
        <is>
          <t>최신영</t>
        </is>
      </c>
      <c r="I61" s="15" t="inlineStr">
        <is>
          <t>오류</t>
        </is>
      </c>
      <c r="J61" s="47" t="inlineStr">
        <is>
          <t>8007 (2 월 주기)에 설비 2대: 100302AG13 최초 2026-10-26, 100305AG17 최초 2026-10-29.
설비별 첫 계획은 각자의 최초작업예정일로 생성됨 (정상).
그런데 100305AG17 은 2월(29일 없음 → 28일 일요일 → 26일로 당겨짐)을 지난 뒤 29일이 아니라 말일로 바뀜: 2027-04-30 (기대 04-29, 평일), 06-30 (기대 06-29), 08-31 (기대 08-29).</t>
        </is>
      </c>
      <c r="K61" s="27" t="inlineStr">
        <is>
          <t>2026-10-19</t>
        </is>
      </c>
      <c r="L61" s="5" t="inlineStr"/>
      <c r="M61" s="6" t="n"/>
      <c r="N61" s="6" t="n"/>
      <c r="O61" s="6" t="n"/>
      <c r="P61" s="6" t="n"/>
      <c r="Q61" s="48" t="inlineStr">
        <is>
          <t>8007</t>
        </is>
      </c>
    </row>
    <row r="62" ht="31.15" customHeight="1" s="33">
      <c r="A62" s="35" t="n"/>
      <c r="B62" s="34" t="inlineStr">
        <is>
          <t>공통</t>
        </is>
      </c>
      <c r="C62" s="34" t="inlineStr">
        <is>
          <t>입력검증</t>
        </is>
      </c>
      <c r="D62" s="34" t="inlineStr">
        <is>
          <t>AD230_EC_011</t>
        </is>
      </c>
      <c r="E62" s="13">
        <f>IFERROR(VLOOKUP($D62, '테스트 케이스'!$D$6:$G$1001, 2, FALSE), "")</f>
        <v/>
      </c>
      <c r="F62" s="13">
        <f>IFERROR(VLOOKUP($D62, '테스트 케이스'!$D$6:$G$1001, 3, FALSE), "")</f>
        <v/>
      </c>
      <c r="G62" s="13">
        <f>IFERROR(VLOOKUP($D62, '테스트 케이스'!$D$6:$G$1001, 4, FALSE), "")</f>
        <v/>
      </c>
      <c r="H62" s="5" t="inlineStr">
        <is>
          <t>최신영</t>
        </is>
      </c>
      <c r="I62" s="15" t="inlineStr">
        <is>
          <t>오류</t>
        </is>
      </c>
      <c r="J62" s="47" t="inlineStr">
        <is>
          <t>주기에 0 → 저장 안내 없이 저장 진행, -1 → '-' 입력이 막혀 1, 1.5 → 저장 안내 없이 저장 진행, '가' → 입력 안 됨.
다시 열어 보니 예방작업번호 8013 이 저장되어 있고 주기가 2 (1.5 가 반올림되어 저장된 것으로 보임). 0·소수에 대한 입력 검증 없음.</t>
        </is>
      </c>
      <c r="K62" s="27" t="inlineStr">
        <is>
          <t>2026-10-19</t>
        </is>
      </c>
      <c r="L62" s="5" t="inlineStr"/>
      <c r="M62" s="6" t="n"/>
      <c r="N62" s="6" t="n"/>
      <c r="O62" s="6" t="n"/>
      <c r="P62" s="6" t="n"/>
      <c r="Q62" s="48" t="inlineStr">
        <is>
          <t>8013</t>
        </is>
      </c>
    </row>
    <row r="63" ht="31.15" customHeight="1" s="33">
      <c r="A63" s="35" t="n"/>
      <c r="B63" s="35" t="n"/>
      <c r="C63" s="34" t="inlineStr">
        <is>
          <t>입력검증</t>
        </is>
      </c>
      <c r="D63" s="34" t="inlineStr">
        <is>
          <t>AD230_EC_012</t>
        </is>
      </c>
      <c r="E63" s="13">
        <f>IFERROR(VLOOKUP($D63, '테스트 케이스'!$D$6:$G$1001, 2, FALSE), "")</f>
        <v/>
      </c>
      <c r="F63" s="13">
        <f>IFERROR(VLOOKUP($D63, '테스트 케이스'!$D$6:$G$1001, 3, FALSE), "")</f>
        <v/>
      </c>
      <c r="G63" s="13">
        <f>IFERROR(VLOOKUP($D63, '테스트 케이스'!$D$6:$G$1001, 4, FALSE), "")</f>
        <v/>
      </c>
      <c r="H63" s="5" t="inlineStr">
        <is>
          <t>최신영</t>
        </is>
      </c>
      <c r="I63" s="15" t="inlineStr">
        <is>
          <t>정상</t>
        </is>
      </c>
      <c r="J63" s="47" t="inlineStr">
        <is>
          <t>[개선] 8017 (1 주 주기)에서 몇일전 일정생성? 에 0, 30, 400 을 넣어도 안내 없이 저장됨 (다시 열어도 그 값). '-' 는 입력이 막혀 -1 → 1.
주기(7일)보다 큰 값에 대한 검증이 없음. 그 값만큼 앞서 작업이 생기는지는 정기점검실행 작업 생성 시점이라 EC_001~005 와 함께 확인 예정.</t>
        </is>
      </c>
      <c r="K63" s="27" t="inlineStr">
        <is>
          <t>2026-10-19</t>
        </is>
      </c>
      <c r="L63" s="5" t="inlineStr"/>
      <c r="M63" s="6" t="n"/>
      <c r="N63" s="6" t="n"/>
      <c r="O63" s="6" t="n"/>
      <c r="P63" s="6" t="n"/>
      <c r="Q63" s="48" t="inlineStr">
        <is>
          <t>8017</t>
        </is>
      </c>
    </row>
    <row r="64" ht="31.15" customHeight="1" s="33">
      <c r="A64" s="35" t="n"/>
      <c r="B64" s="36" t="n"/>
      <c r="C64" s="36" t="n"/>
      <c r="D64" s="34" t="inlineStr">
        <is>
          <t>AD230_EC_013</t>
        </is>
      </c>
      <c r="E64" s="13">
        <f>IFERROR(VLOOKUP($D64, '테스트 케이스'!$D$6:$G$1001, 2, FALSE), "")</f>
        <v/>
      </c>
      <c r="F64" s="13">
        <f>IFERROR(VLOOKUP($D64, '테스트 케이스'!$D$6:$G$1001, 3, FALSE), "")</f>
        <v/>
      </c>
      <c r="G64" s="13">
        <f>IFERROR(VLOOKUP($D64, '테스트 케이스'!$D$6:$G$1001, 4, FALSE), "")</f>
        <v/>
      </c>
      <c r="H64" s="5" t="inlineStr">
        <is>
          <t>최신영</t>
        </is>
      </c>
      <c r="I64" s="15" t="inlineStr">
        <is>
          <t>정상</t>
        </is>
      </c>
      <c r="J64" s="47" t="inlineStr">
        <is>
          <t>[개선] 특수문자 작업명 '[sychoi] Double Cone Mixer(일성기공) 월간 정기점검 &lt;A&amp;B&gt; "정기" '보완'' 저장 → 다시 열어도 같음 (정상).
작업명 칸에 최대 길이(maxlength) 제한 없음. 320자 입력 후 저장 → 안내 없이 저장되지 않음 (다시 열면 이전 값 56자 그대로).</t>
        </is>
      </c>
      <c r="K64" s="27" t="inlineStr">
        <is>
          <t>2026-10-19</t>
        </is>
      </c>
      <c r="L64" s="5" t="inlineStr"/>
      <c r="M64" s="6" t="n"/>
      <c r="N64" s="6" t="n"/>
      <c r="O64" s="6" t="n"/>
      <c r="P64" s="6" t="n"/>
      <c r="Q64" s="48" t="inlineStr">
        <is>
          <t>8014</t>
        </is>
      </c>
    </row>
    <row r="65" ht="31.15" customHeight="1" s="33">
      <c r="A65" s="35" t="n"/>
      <c r="B65" s="34" t="inlineStr">
        <is>
          <t>설비</t>
        </is>
      </c>
      <c r="C65" s="34" t="inlineStr">
        <is>
          <t>입력검증</t>
        </is>
      </c>
      <c r="D65" s="34" t="inlineStr">
        <is>
          <t>AD230_EC_014</t>
        </is>
      </c>
      <c r="E65" s="13">
        <f>IFERROR(VLOOKUP($D65, '테스트 케이스'!$D$6:$G$1001, 2, FALSE), "")</f>
        <v/>
      </c>
      <c r="F65" s="13">
        <f>IFERROR(VLOOKUP($D65, '테스트 케이스'!$D$6:$G$1001, 3, FALSE), "")</f>
        <v/>
      </c>
      <c r="G65" s="13">
        <f>IFERROR(VLOOKUP($D65, '테스트 케이스'!$D$6:$G$1001, 4, FALSE), "")</f>
        <v/>
      </c>
      <c r="H65" s="5" t="inlineStr">
        <is>
          <t>최신영</t>
        </is>
      </c>
      <c r="I65" s="15" t="inlineStr">
        <is>
          <t>오류</t>
        </is>
      </c>
      <c r="J65" s="47" t="inlineStr">
        <is>
          <t>8007 에 이미 있는 설비 100302AG13 을 다시 추가 → 안내 없이 저장되어 목록에 100302AG13 이 2행이 됨 (같은 설비 중복 허용).
테스트가 넣은 중복 행(최초작업예정일 2026-11-08)은 바로 삭제해 정리함.</t>
        </is>
      </c>
      <c r="K65" s="27" t="inlineStr">
        <is>
          <t>2026-10-19</t>
        </is>
      </c>
      <c r="L65" s="5" t="inlineStr"/>
      <c r="M65" s="6" t="n"/>
      <c r="N65" s="6" t="n"/>
      <c r="O65" s="6" t="n"/>
      <c r="P65" s="6" t="n"/>
      <c r="Q65" s="48" t="inlineStr"/>
    </row>
    <row r="66" ht="31.15" customHeight="1" s="33">
      <c r="A66" s="35" t="n"/>
      <c r="B66" s="34" t="inlineStr">
        <is>
          <t>공통</t>
        </is>
      </c>
      <c r="C66" s="34" t="inlineStr">
        <is>
          <t>일정생성</t>
        </is>
      </c>
      <c r="D66" s="34" t="inlineStr">
        <is>
          <t>AD230_EC_015</t>
        </is>
      </c>
      <c r="E66" s="13">
        <f>IFERROR(VLOOKUP($D66, '테스트 케이스'!$D$6:$G$1001, 2, FALSE), "")</f>
        <v/>
      </c>
      <c r="F66" s="13">
        <f>IFERROR(VLOOKUP($D66, '테스트 케이스'!$D$6:$G$1001, 3, FALSE), "")</f>
        <v/>
      </c>
      <c r="G66" s="13">
        <f>IFERROR(VLOOKUP($D66, '테스트 케이스'!$D$6:$G$1001, 4, FALSE), "")</f>
        <v/>
      </c>
      <c r="H66" s="5" t="inlineStr">
        <is>
          <t>최신영</t>
        </is>
      </c>
      <c r="I66" s="15" t="inlineStr">
        <is>
          <t>정상</t>
        </is>
      </c>
      <c r="J66" s="47" t="inlineStr"/>
      <c r="K66" s="27" t="inlineStr">
        <is>
          <t>2026-10-19</t>
        </is>
      </c>
      <c r="L66" s="5" t="inlineStr"/>
      <c r="M66" s="6" t="n"/>
      <c r="N66" s="6" t="n"/>
      <c r="O66" s="6" t="n"/>
      <c r="P66" s="6" t="n"/>
      <c r="Q66" s="48" t="inlineStr"/>
    </row>
    <row r="67" ht="46.9" customHeight="1" s="33">
      <c r="A67" s="36" t="n"/>
      <c r="B67" s="36" t="n"/>
      <c r="C67" s="34" t="inlineStr">
        <is>
          <t>삭제</t>
        </is>
      </c>
      <c r="D67" s="34" t="inlineStr">
        <is>
          <t>AD230_EC_016</t>
        </is>
      </c>
      <c r="E67" s="13">
        <f>IFERROR(VLOOKUP($D67, '테스트 케이스'!$D$6:$G$1001, 2, FALSE), "")</f>
        <v/>
      </c>
      <c r="F67" s="13">
        <f>IFERROR(VLOOKUP($D67, '테스트 케이스'!$D$6:$G$1001, 3, FALSE), "")</f>
        <v/>
      </c>
      <c r="G67" s="13">
        <f>IFERROR(VLOOKUP($D67, '테스트 케이스'!$D$6:$G$1001, 4, FALSE), "")</f>
        <v/>
      </c>
      <c r="H67" s="5" t="inlineStr">
        <is>
          <t>최신영</t>
        </is>
      </c>
      <c r="I67" s="15" t="inlineStr"/>
      <c r="J67" s="47" t="inlineStr">
        <is>
          <t>[미수행] 이번 차수 불가: 예방작업(주기) 삭제 금지 규칙. 삭제 버튼 → 확인창까지 확인하고 Cancel</t>
        </is>
      </c>
      <c r="K67" s="27" t="inlineStr">
        <is>
          <t>2026-10-19</t>
        </is>
      </c>
      <c r="L67" s="5" t="inlineStr"/>
      <c r="M67" s="6" t="n"/>
      <c r="N67" s="6" t="n"/>
      <c r="O67" s="6" t="n"/>
      <c r="P67" s="6" t="n"/>
      <c r="Q67" s="48" t="inlineStr"/>
    </row>
    <row r="68" ht="31.15" customHeight="1" s="33"/>
    <row r="69" ht="27" customHeight="1" s="33"/>
    <row r="70" ht="27" customHeight="1" s="33"/>
    <row r="71" ht="13.5" customHeight="1" s="33"/>
    <row r="72" ht="13.5" customHeight="1" s="33"/>
    <row r="73" ht="40.5" customHeight="1" s="33"/>
    <row r="74" ht="13.5" customHeight="1" s="33"/>
    <row r="75" ht="13.5" customHeight="1" s="33"/>
    <row r="76" ht="13.5" customHeight="1" s="33"/>
    <row r="78" ht="13.5" customHeight="1" s="33"/>
    <row r="79" ht="27" customHeight="1" s="33"/>
    <row r="80" ht="156" customHeight="1" s="33"/>
    <row r="81" ht="141" customHeight="1" s="33"/>
    <row r="82" ht="132" customHeight="1" s="33"/>
    <row r="83" ht="142.5" customHeight="1" s="33"/>
  </sheetData>
  <mergeCells count="22">
    <mergeCell ref="A6:A47"/>
    <mergeCell ref="C58:C61"/>
    <mergeCell ref="C63:C64"/>
    <mergeCell ref="B14:B35"/>
    <mergeCell ref="C23:C25"/>
    <mergeCell ref="B6:B12"/>
    <mergeCell ref="C26:C27"/>
    <mergeCell ref="B43:B46"/>
    <mergeCell ref="A52:A67"/>
    <mergeCell ref="B62:B64"/>
    <mergeCell ref="C15:C21"/>
    <mergeCell ref="C32:C33"/>
    <mergeCell ref="B52:B56"/>
    <mergeCell ref="B36:B41"/>
    <mergeCell ref="B66:B67"/>
    <mergeCell ref="B57:B61"/>
    <mergeCell ref="C28:C29"/>
    <mergeCell ref="C34:C35"/>
    <mergeCell ref="C7:C12"/>
    <mergeCell ref="C37:C38"/>
    <mergeCell ref="C53:C56"/>
    <mergeCell ref="A2: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 신영</dc:creator>
  <dcterms:created xsi:type="dcterms:W3CDTF">2025-02-10T07:03:31Z</dcterms:created>
  <dcterms:modified xsi:type="dcterms:W3CDTF">2026-10-19T12:57:54Z</dcterms:modified>
  <cp:lastModifiedBy>최 신영</cp:lastModifiedBy>
</cp:coreProperties>
</file>