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  <xf numFmtId="165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8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3" t="inlineStr">
        <is>
          <t>검색 필드의 기본값을 확인한다.</t>
        </is>
      </c>
      <c r="F6" s="4" t="inlineStr">
        <is>
          <t>메뉴 접속 후 탭마다 검색 영역 확인</t>
        </is>
      </c>
      <c r="G6" s="3" t="inlineStr">
        <is>
          <t>카렌다(연간) 년 = 올해, 카렌다(월간) 년월 = 이번 달, 목록(조건) 일정조정 일자에 기본 기간이 들어 있고 나머지 검색 필드는 비어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2" t="n"/>
      <c r="D7" s="43" t="inlineStr">
        <is>
          <t>AD210_TC_002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2" t="n"/>
      <c r="D8" s="43" t="inlineStr">
        <is>
          <t>AD210_TC_003</t>
        </is>
      </c>
      <c r="E8" s="3" t="inlineStr">
        <is>
          <t>그 외 검색 필드 Lov 팝업의 데이터를 확인한다.</t>
        </is>
      </c>
      <c r="F8" s="4" t="inlineStr">
        <is>
          <t>공장명, 부서, 작업그룹명, 담당자, 계획거래처, 설비위치, 설비종류 (목록(조건)은 부서(실행), 담당자(실행), 법정설비여부, 관리자(정/부), 설비유형, 사용부서 포함)의 돋보기(Lov)를 하나씩 클릭</t>
        </is>
      </c>
      <c r="G8" s="3" t="inlineStr">
        <is>
          <t>각 Lov 팝업이 열리고, 목록이 원본 메뉴(공장설정, 부서, 작업그룹, 사원, 거래처, 설비위치설정, 설비종류설정 등)와 일치함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2" t="n"/>
      <c r="D9" s="43" t="inlineStr">
        <is>
          <t>AD210_TC_004</t>
        </is>
      </c>
      <c r="E9" s="3" t="inlineStr">
        <is>
          <t>조건 하나로 정기점검계획을 검색한다.</t>
        </is>
      </c>
      <c r="F9" s="4" t="inlineStr">
        <is>
          <t>탭마다 검색 필드에 실제 데이터 값 1개씩 입력(Lov 필드는 Lov에서 선택) 후 검색 버튼 클릭</t>
        </is>
      </c>
      <c r="G9" s="3" t="inlineStr">
        <is>
          <t>입력한 조건에 맞는 계획만 목록에 표시되고, 우측 하단 Total 숫자와 조회 건수가 일치함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AD210_TC_005</t>
        </is>
      </c>
      <c r="E10" s="3" t="inlineStr">
        <is>
          <t>여러 조건을 조합하여 검색한다.</t>
        </is>
      </c>
      <c r="F10" s="4" t="inlineStr">
        <is>
          <t>① 작업명 + 예방작업번호  ② 예방작업번호 + 설비 를 함께 입력 후 검색</t>
        </is>
      </c>
      <c r="G10" s="3" t="inlineStr">
        <is>
          <t>모든 조건을 동시에 만족하는 계획만 표시됨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2" t="n"/>
      <c r="D11" s="43" t="inlineStr">
        <is>
          <t>AD210_TC_006</t>
        </is>
      </c>
      <c r="E11" s="3" t="inlineStr">
        <is>
          <t>정기점검계획 전체를 검색한다.</t>
        </is>
      </c>
      <c r="F11" s="4" t="inlineStr">
        <is>
          <t>기간(년, 년월, 일정조정 일자)을 뺀 검색 필드 값을 모두 지운 뒤 검색 버튼 클릭</t>
        </is>
      </c>
      <c r="G11" s="3" t="inlineStr">
        <is>
          <t>그 기간에 등록된 전체 계획이 표시되고 Total n/n 이 전체 건수와 일치함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4" t="n"/>
      <c r="D12" s="43" t="inlineStr">
        <is>
          <t>AD210_TC_007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3" t="inlineStr">
        <is>
          <t>연간 카렌다의 월별 건수를 확인한다.</t>
        </is>
      </c>
      <c r="F13" s="4" t="inlineStr">
        <is>
          <t>올해로 검색 → 월마다 Planned / Scheduled / Completed 숫자를 목록과 비교</t>
        </is>
      </c>
      <c r="G13" s="3" t="inlineStr">
        <is>
          <t>월별 Planned = 그 달 전체 계획 수, Scheduled = 작업발행 수, Completed = 작업완료 수이고, 계 = 12개월 합계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3" t="inlineStr">
        <is>
          <t>월간 카렌다의 일별 건수를 확인한다.</t>
        </is>
      </c>
      <c r="F14" s="4" t="inlineStr">
        <is>
          <t>이번 달로 검색 → 날짜마다 Planned / Scheduled / Completed 숫자를 목록과 비교</t>
        </is>
      </c>
      <c r="G14" s="3" t="inlineStr">
        <is>
          <t>날짜별 숫자가 그날이 일정조정 일자인 계획의 전체 / 작업발행 / 작업완료 수와 일치함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3" t="inlineStr">
        <is>
          <t>트리에서 위치/종류를 선택하여 조회한다.</t>
        </is>
      </c>
      <c r="F15" s="4" t="inlineStr">
        <is>
          <t>① 목록(위치) 탭에서 위치명 트리의 위치 클릭  ② 목록(종류) 탭에서 종류명 트리의 종류 클릭</t>
        </is>
      </c>
      <c r="G15" s="3" t="inlineStr">
        <is>
          <t>선택한 위치/종류에 속한 설비의 계획만 오른쪽 목록에 표시됨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3" t="inlineStr">
        <is>
          <t>조회된 목록을 정렬한다.</t>
        </is>
      </c>
      <c r="F16" s="4" t="inlineStr">
        <is>
          <t>목록 그리드 헤더(일정조정(작업일자), 예방작업번호, 작업명) 클릭 2회</t>
        </is>
      </c>
      <c r="G16" s="3" t="inlineStr">
        <is>
          <t>선택한 열 기준으로 오름차순 → 내림차순 정렬됨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2" t="n"/>
      <c r="D17" s="43" t="inlineStr">
        <is>
          <t>AD210_TC_012</t>
        </is>
      </c>
      <c r="E17" s="3" t="inlineStr">
        <is>
          <t>목록 건수 표시를 확인한다.</t>
        </is>
      </c>
      <c r="F17" s="4" t="inlineStr">
        <is>
          <t>전체 검색 후 목록을 끝까지 스크롤</t>
        </is>
      </c>
      <c r="G17" s="3" t="inlineStr">
        <is>
          <t>Total a/b 에서 a 는 화면에 불러온 건수, b 는 전체 건수이며 끝까지 불러오면 a = b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2" t="n"/>
      <c r="D18" s="43" t="inlineStr">
        <is>
          <t>AD210_TC_013</t>
        </is>
      </c>
      <c r="E18" s="3" t="inlineStr">
        <is>
          <t>(행 클릭) 작업계획 상태의 상세를 조회한다.</t>
        </is>
      </c>
      <c r="F18" s="4" t="inlineStr">
        <is>
          <t>일정상태 = 작업계획인 행 클릭</t>
        </is>
      </c>
      <c r="G18" s="3" t="inlineStr">
        <is>
          <t>목록 하단에 일정 상세(예방작업번호 : 번호 / 작업명)가 열리고 작업일자, 일정생성방법, 설비, 주기, 담당자 등이 표시됨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2" t="n"/>
      <c r="D19" s="43" t="inlineStr">
        <is>
          <t>AD210_TC_014</t>
        </is>
      </c>
      <c r="E19" s="3" t="inlineStr">
        <is>
          <t>(행 클릭) 작업발행·작업완료 상태의 상세를 조회한다.</t>
        </is>
      </c>
      <c r="F19" s="4" t="inlineStr">
        <is>
          <t>일정상태 = 작업발행, 작업완료인 행을 각각 클릭</t>
        </is>
      </c>
      <c r="G19" s="3" t="inlineStr">
        <is>
          <t>점검작업 상세가 열리고 점검작업#, 일정상태, 설비, 점검명, 점검일자가 표시되며 하위 탭(점검항목, 표준작업, 첨부문서)이 보임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2" t="n"/>
      <c r="D20" s="43" t="inlineStr">
        <is>
          <t>AD210_TC_015</t>
        </is>
      </c>
      <c r="E20" s="3" t="inlineStr">
        <is>
          <t>목록과 상세의 값이 일치하는지 확인한다.</t>
        </is>
      </c>
      <c r="F20" s="4" t="inlineStr">
        <is>
          <t>목록 한 행의 일정조정(작업일자), 예방작업번호, 작업명, 설비, 부서, 담당자, 일정생성방법, 주기, 비고를 상세 값과 비교</t>
        </is>
      </c>
      <c r="G20" s="3" t="inlineStr">
        <is>
          <t>목록과 상세의 값이 모두 같음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2" t="n"/>
      <c r="D21" s="43" t="inlineStr">
        <is>
          <t>AD210_TC_016</t>
        </is>
      </c>
      <c r="E21" s="3" t="inlineStr">
        <is>
          <t>(목록) 데이터 표시 형식을 확인한다.</t>
        </is>
      </c>
      <c r="F21" s="4" t="inlineStr">
        <is>
          <t>탭마다 목록의 숫자, 날짜, 텍스트, 코드 열 확인</t>
        </is>
      </c>
      <c r="G21" s="3" t="inlineStr">
        <is>
          <t>숫자: 천단위 쉼표, 오른쪽 정렬 / 날짜(초기계획, 일정조정, 작업일자, 완료일자): yyyy-mm-dd, 가운데 정렬 / 텍스트: 왼쪽 정렬 / 코드(일정상태): 코드명으로 가운데 정렬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2" t="n"/>
      <c r="D22" s="43" t="inlineStr">
        <is>
          <t>AD210_TC_017</t>
        </is>
      </c>
      <c r="E22" s="3" t="inlineStr">
        <is>
          <t>(상세) 데이터 표시 형식을 확인한다.</t>
        </is>
      </c>
      <c r="F22" s="4" t="inlineStr">
        <is>
          <t>일정 상세와 점검작업 상세의 숫자(주기, 사용량, 점검시간), 날짜 필드 확인</t>
        </is>
      </c>
      <c r="G22" s="3" t="inlineStr">
        <is>
          <t>숫자는 오른쪽 정렬, 날짜는 yyyy-mm-dd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4" t="n"/>
      <c r="D23" s="43" t="inlineStr">
        <is>
          <t>AD210_TC_018</t>
        </is>
      </c>
      <c r="E23" s="3" t="inlineStr">
        <is>
          <t>읽기전용 필드를 확인한다.</t>
        </is>
      </c>
      <c r="F23" s="4" t="inlineStr">
        <is>
          <t>① 일정 상세에서 작업일자 외 필드  ② 점검작업 상세의 점검작업#, 일정상태, 작업종류, 작업형태, 설비, 설비위치, 점검시간 클릭 후 입력 시도</t>
        </is>
      </c>
      <c r="G23" s="3" t="inlineStr">
        <is>
          <t>회색으로 표시되고 값을 수정할 수 없음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3" t="inlineStr">
        <is>
          <t>상세를 닫는다.</t>
        </is>
      </c>
      <c r="F24" s="4" t="inlineStr">
        <is>
          <t>하단 상세의 닫기(ⓧ) 클릭</t>
        </is>
      </c>
      <c r="G24" s="3" t="inlineStr">
        <is>
          <t>상세가 닫히고 목록 화면만 남음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3" t="inlineStr">
        <is>
          <t>작업계획의 작업일자를 변경한다.</t>
        </is>
      </c>
      <c r="F25" s="4" t="inlineStr">
        <is>
          <t>작업계획 행 클릭 → 상세 작업일자를 오늘 이후 다른 날로 변경 → 저장 → OK</t>
        </is>
      </c>
      <c r="G25" s="3" t="inlineStr">
        <is>
          <t>목록의 일정조정(작업일자)이 바뀐 날짜로 표시되고, 초기계획은 처음 날짜 그대로이며, 카렌다 숫자도 바뀐 날짜로 옮겨짐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2" t="n"/>
      <c r="D26" s="43" t="inlineStr">
        <is>
          <t>AD210_TC_021</t>
        </is>
      </c>
      <c r="E26" s="3" t="inlineStr">
        <is>
          <t>필수값을 지우고 수정한다.</t>
        </is>
      </c>
      <c r="F26" s="4" t="inlineStr">
        <is>
          <t>일정 상세에서 작업일자를 지운 뒤 저장 → OK</t>
        </is>
      </c>
      <c r="G26" s="3" t="inlineStr">
        <is>
          <t>필수값 누락 팝업이 뜨고 수정되지 않음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AD210_TC_022</t>
        </is>
      </c>
      <c r="E27" s="3" t="inlineStr">
        <is>
          <t>작업발행 상태의 점검작업을 수정한다.</t>
        </is>
      </c>
      <c r="F27" s="4" t="inlineStr">
        <is>
          <t>작업발행 행 클릭 → 점검작업 상세에서 점검명, 담당자, 점검시작·종료시간, 비고 변경 → 저장 → OK</t>
        </is>
      </c>
      <c r="G27" s="3" t="inlineStr">
        <is>
          <t>변경 내용이 상세에 저장되고 목록(비고, 담당자(실행))에 반영됨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4" t="n"/>
      <c r="D28" s="43" t="inlineStr">
        <is>
          <t>AD210_TC_023</t>
        </is>
      </c>
      <c r="E28" s="3" t="inlineStr">
        <is>
          <t>점검작업의 필수값을 지우고 저장한다.</t>
        </is>
      </c>
      <c r="F28" s="4" t="inlineStr">
        <is>
          <t>점검작업 상세에서 점검명, 점검일자, 담당부서를 하나씩 비운 채 저장 → OK</t>
        </is>
      </c>
      <c r="G28" s="3" t="inlineStr">
        <is>
          <t>각각 필수값 누락 팝업이 뜨고 저장되지 않음 (3건 모두)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3" t="inlineStr">
        <is>
          <t>선택한 작업계획을 삭제한다. (체크O)</t>
        </is>
      </c>
      <c r="F29" s="4" t="inlineStr">
        <is>
          <t>이 테스트에서 만든 작업계획 행을 체크 → 삭제 → OK (카렌다(연간), 목록(조건) 탭에서 각각)</t>
        </is>
      </c>
      <c r="G29" s="3" t="inlineStr">
        <is>
          <t>선택한 계획이 삭제되고 목록과 카렌다 숫자에서 빠짐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2" t="n"/>
      <c r="C30" s="44" t="n"/>
      <c r="D30" s="43" t="inlineStr">
        <is>
          <t>AD210_TC_025</t>
        </is>
      </c>
      <c r="E30" s="3" t="inlineStr">
        <is>
          <t>선택 없이 삭제한다. (체크X)</t>
        </is>
      </c>
      <c r="F30" s="4" t="inlineStr">
        <is>
          <t>체크박스 선택 없이 삭제 클릭</t>
        </is>
      </c>
      <c r="G30" s="3" t="inlineStr">
        <is>
          <t>"선택된 데이터가 없습니다" 팝업, 삭제되지 않음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3" t="inlineStr">
        <is>
          <t>목록을 Excel로 다운로드한다.</t>
        </is>
      </c>
      <c r="F31" s="4" t="inlineStr">
        <is>
          <t>1. 조건 검색
2. Excel 버튼 클릭 후 파일 열기 (탭별)</t>
        </is>
      </c>
      <c r="G31" s="3" t="inlineStr">
        <is>
          <t>조회된 데이터가 담긴 Excel 파일이 받아지고, 행 수와 열 이름이 목록과 같음 (조회 결과가 없으면 헤더만 있음)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3" t="inlineStr">
        <is>
          <t>Setting(Field 설정, Tab 설정) 변경이 화면에 반영되는지 확인한다.</t>
        </is>
      </c>
      <c r="F32" s="4" t="inlineStr">
        <is>
          <t>검색·목록 영역의 Setting 클릭 → Field 설정에서 한 항목의 화면표시명 변경, Display 여부 N, 정렬값 변경 → 저장 / Tab 설정에서 하위 탭 하나의 Display 여부 N → 저장 → 화면 다시 열어 확인 → [초기화] → 화면 확인 → 원래 값으로 되돌림</t>
        </is>
      </c>
      <c r="G32" s="3" t="inlineStr">
        <is>
          <t>Setting 팝업이 열리고, 바꾼 화면표시명이 라벨·헤더·탭 이름에 보이며, Display N 항목은 숨겨지고, 정렬값대로 순서가 바뀜. [초기화] 하면 바로(다시 로그인하지 않아도) 기본 화면으로 돌아옴. 되돌린 뒤에는 원래 화면과 같음 (Setting 은 사용자별 저장)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3" t="inlineStr">
        <is>
          <t>정기점검 일정추가 팝업을 확인한다.</t>
        </is>
      </c>
      <c r="F33" s="4" t="inlineStr">
        <is>
          <t>일정추가하기 클릭 → 예방작업번호 돋보기 클릭 → 예방작업설비선택에서 [sychoi] 주기 선택</t>
        </is>
      </c>
      <c r="G33" s="3" t="inlineStr">
        <is>
          <t>정기점검 일정추가 팝업이 열리고, 선택한 주기의 설비번호, 설비명, 작업명이 채워짐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2" t="n"/>
      <c r="C34" s="42" t="n"/>
      <c r="D34" s="43" t="inlineStr">
        <is>
          <t>AD210_TC_029</t>
        </is>
      </c>
      <c r="E34" s="3" t="inlineStr">
        <is>
          <t>정기점검 일정을 추가한다.</t>
        </is>
      </c>
      <c r="F34" s="4" t="inlineStr">
        <is>
          <t>TC_028 에 이어 목록 생성 → 계획일자에 오늘 이후 날짜 입력 → 저장 → OK</t>
        </is>
      </c>
      <c r="G34" s="3" t="inlineStr">
        <is>
          <t>목록에 그 날짜의 계획이 작업계획 상태로 추가되고 초기계획 = 일정조정 = 입력한 날짜, 카렌다 숫자가 1 늘어남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2" t="n"/>
      <c r="C35" s="44" t="n"/>
      <c r="D35" s="43" t="inlineStr">
        <is>
          <t>AD210_TC_030</t>
        </is>
      </c>
      <c r="E35" s="3" t="inlineStr">
        <is>
          <t>필수값 없이 일정을 추가한다.</t>
        </is>
      </c>
      <c r="F35" s="4" t="inlineStr">
        <is>
          <t>① 예방작업번호 없이 저장  ② 예방작업번호만 고르고 계획일자 없이 저장</t>
        </is>
      </c>
      <c r="G35" s="3" t="inlineStr">
        <is>
          <t>① 필수값 누락 팝업  ② "선택한 데이터가 없습니다" 팝업, 둘 다 계획이 생기지 않음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3" t="inlineStr">
        <is>
          <t>정기점검 일정을 확정한다. (체크O)</t>
        </is>
      </c>
      <c r="F36" s="4" t="inlineStr">
        <is>
          <t>작업계획 행 체크 → 일정확정하기 → OK</t>
        </is>
      </c>
      <c r="G36" s="3" t="inlineStr">
        <is>
          <t>선택한 계획의 일정상태가 작업발행으로 바뀌고, 정기점검실행에 같은 점검일자의 점검작업이 1건 생김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2" t="n"/>
      <c r="C37" s="42" t="n"/>
      <c r="D37" s="43" t="inlineStr">
        <is>
          <t>AD210_TC_032</t>
        </is>
      </c>
      <c r="E37" s="3" t="inlineStr">
        <is>
          <t>정기점검 일정을 확정한다. (체크X)</t>
        </is>
      </c>
      <c r="F37" s="4" t="inlineStr">
        <is>
          <t>목록을 조회한 뒤 체크 없이 일정확정하기</t>
        </is>
      </c>
      <c r="G37" s="3" t="inlineStr">
        <is>
          <t>"선택된 데이터가 없습니다" 팝업, 확정되지 않음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4" t="n"/>
      <c r="C38" s="44" t="n"/>
      <c r="D38" s="43" t="inlineStr">
        <is>
          <t>AD210_TC_033</t>
        </is>
      </c>
      <c r="E38" s="3" t="inlineStr">
        <is>
          <t>이미 확정된 일정을 확정한다.</t>
        </is>
      </c>
      <c r="F38" s="4" t="inlineStr">
        <is>
          <t>작업발행 상태 행 체크 → 일정확정하기 → OK</t>
        </is>
      </c>
      <c r="G38" s="3" t="inlineStr">
        <is>
          <t>"계획중인 건만 확정 가능합니다." 팝업, 상태가 바뀌지 않음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3" t="inlineStr">
        <is>
          <t>목록에서 비고를 바로 수정한다. (Edit)</t>
        </is>
      </c>
      <c r="F39" s="4" t="inlineStr">
        <is>
          <t>Edit 클릭 → 작업계획 행의 비고 칸 클릭 후 수정 → 저장 → OK</t>
        </is>
      </c>
      <c r="G39" s="3" t="inlineStr">
        <is>
          <t>수정 모드 안내와 함께 저장/취소 버튼이 보이고, 저장 후 다시 검색하면 바뀐 비고가 표시됨 (Edit 로 수정할 수 있는 칸은 비고)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2" t="n"/>
      <c r="C40" s="44" t="n"/>
      <c r="D40" s="43" t="inlineStr">
        <is>
          <t>AD210_TC_035</t>
        </is>
      </c>
      <c r="E40" s="3" t="inlineStr">
        <is>
          <t>목록 수정을 취소한다. (Edit)</t>
        </is>
      </c>
      <c r="F40" s="4" t="inlineStr">
        <is>
          <t>Edit 클릭 → 비고 칸 수정 → 취소</t>
        </is>
      </c>
      <c r="G40" s="3" t="inlineStr">
        <is>
          <t>수정 취소 안내 후 수정 모드가 끝나고 목록 값이 수정 전으로 돌아감 (새로고침하지 않아도)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3" t="inlineStr">
        <is>
          <t>점검작업을 확정(완료)처리한다. (필수값 입력O)</t>
        </is>
      </c>
      <c r="F41" s="4" t="inlineStr">
        <is>
          <t>작업발행 행의 점검작업 상세에서 점검항목 점검값을 모두 입력, 점검일자 = 오늘 → 확정 → OK</t>
        </is>
      </c>
      <c r="G41" s="3" t="inlineStr">
        <is>
          <t>일정상태가 작업완료, 완료일자가 확정한 날로 바뀌고 상세는 더 이상 수정할 수 없음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2" t="n"/>
      <c r="C42" s="44" t="n"/>
      <c r="D42" s="43" t="inlineStr">
        <is>
          <t>AD210_TC_037</t>
        </is>
      </c>
      <c r="E42" s="3" t="inlineStr">
        <is>
          <t>점검작업을 확정(완료)처리한다. (필수값 입력X)</t>
        </is>
      </c>
      <c r="F42" s="4" t="inlineStr">
        <is>
          <t>점검작업 상세에서 필수값(점검명 등)을 비운 채 확정 → OK</t>
        </is>
      </c>
      <c r="G42" s="3" t="inlineStr">
        <is>
          <t>필수값 누락 팝업, 확정되지 않음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3" t="inlineStr">
        <is>
          <t>기준서를 확인한다.</t>
        </is>
      </c>
      <c r="F43" s="4" t="inlineStr">
        <is>
          <t>점검작업 상세의 Linked → 기준서 클릭</t>
        </is>
      </c>
      <c r="G43" s="3" t="inlineStr">
        <is>
          <t>이 점검작업의 정기점검주기(기준서) 상세가 팝업으로 열림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4" t="n"/>
      <c r="C44" s="44" t="n"/>
      <c r="D44" s="43" t="inlineStr">
        <is>
          <t>AD210_TC_039</t>
        </is>
      </c>
      <c r="E44" s="3" t="inlineStr">
        <is>
          <t>정기점검결과 출력물을 확인한다.</t>
        </is>
      </c>
      <c r="F44" s="4" t="inlineStr">
        <is>
          <t>점검작업 상세의 Linked → 정기점검결과출력 클릭</t>
        </is>
      </c>
      <c r="G44" s="3" t="inlineStr">
        <is>
          <t>이 점검작업의 정기점검결과서 출력 팝업이 열림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3" t="inlineStr">
        <is>
          <t>점검항목 목록을 조회한다.</t>
        </is>
      </c>
      <c r="F45" s="4" t="inlineStr">
        <is>
          <t>점검작업 상세 하단 점검항목 탭 확인</t>
        </is>
      </c>
      <c r="G45" s="3" t="inlineStr">
        <is>
          <t>정기점검주기에 등록한 점검항목이 점검순서대로 표시되고 탭 제목 숫자, Total 과 행 수가 일치함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3" t="inlineStr">
        <is>
          <t>점검항목의 점검값을 입력한다.</t>
        </is>
      </c>
      <c r="F46" s="4" t="inlineStr">
        <is>
          <t>점검항목 행 클릭 → 점검값(수치형은 숫자, 판정형은 판정) 입력 → 저장</t>
        </is>
      </c>
      <c r="G46" s="3" t="inlineStr">
        <is>
          <t>입력한 점검값이 점검항목 목록에 표시됨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3" t="inlineStr">
        <is>
          <t>(상세보기 버튼) 점검항목 상세를 조회한다.</t>
        </is>
      </c>
      <c r="F47" s="4" t="inlineStr">
        <is>
          <t>점검항목 행 선택 후 상세보기 클릭</t>
        </is>
      </c>
      <c r="G47" s="3" t="inlineStr">
        <is>
          <t>선택한 점검항목 상세가 팝업으로 열리고 하단 상세와 내용이 같음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3" t="inlineStr">
        <is>
          <t>점검항목 목록을 Excel로 다운로드한다.</t>
        </is>
      </c>
      <c r="F48" s="4" t="inlineStr">
        <is>
          <t>점검항목 목록의 Excel 클릭</t>
        </is>
      </c>
      <c r="G48" s="3" t="inlineStr">
        <is>
          <t>점검항목 목록이 담긴 Excel 파일이 받아짐 (데이터가 없으면 헤더만)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3" t="inlineStr">
        <is>
          <t>표준작업 목록을 조회한다.</t>
        </is>
      </c>
      <c r="F49" s="4" t="inlineStr">
        <is>
          <t>점검작업 상세 하단 표준작업 탭 확인</t>
        </is>
      </c>
      <c r="G49" s="3" t="inlineStr">
        <is>
          <t>정기점검주기에 연결한 표준작업이 표시되고 탭 제목 숫자, Total 과 행 수가 일치함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3" t="inlineStr">
        <is>
          <t>표준작업 목록을 Excel로 다운로드한다.</t>
        </is>
      </c>
      <c r="F50" s="4" t="inlineStr">
        <is>
          <t>표준작업 목록의 Excel 클릭</t>
        </is>
      </c>
      <c r="G50" s="3" t="inlineStr">
        <is>
          <t>표준작업 목록이 담긴 Excel 파일이 받아짐 (데이터가 없으면 헤더만)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3" t="inlineStr">
        <is>
          <t>첨부문서를 등록하고 삭제한다.</t>
        </is>
      </c>
      <c r="F51" s="4" t="inlineStr">
        <is>
          <t>첨부문서 목록의 생성 → 제목, 문서분류 입력, 파일 첨부 → 저장 → 체크 후 삭제</t>
        </is>
      </c>
      <c r="G51" s="3" t="inlineStr">
        <is>
          <t>등록 시 목록에 표시되고 파일을 내려받을 수 있음, 삭제 시 목록에서 사라짐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3" t="inlineStr">
        <is>
          <t>첨부문서를 선택 없이 삭제한다. (체크X)</t>
        </is>
      </c>
      <c r="F52" s="4" t="inlineStr">
        <is>
          <t>체크 없이 삭제 클릭</t>
        </is>
      </c>
      <c r="G52" s="3" t="inlineStr">
        <is>
          <t>"선택된 데이터가 없습니다" 팝업, 삭제되지 않음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4" ht="49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12" t="inlineStr">
        <is>
          <t>QA날짜</t>
        </is>
      </c>
    </row>
    <row r="57" ht="16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3" t="inlineStr">
        <is>
          <t>작업발행·작업완료 계획을 삭제한다.</t>
        </is>
      </c>
      <c r="F57" s="4" t="inlineStr">
        <is>
          <t>작업발행, 작업완료 행을 각각 체크 → 삭제 → OK</t>
        </is>
      </c>
      <c r="G57" s="3" t="inlineStr">
        <is>
          <t>삭제가 막히고 안내 팝업이 뜸 (점검작업이 발행되지 않은 계획만 삭제 가능)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3" t="inlineStr">
        <is>
          <t>지난 날짜로 일정을 추가한다.</t>
        </is>
      </c>
      <c r="F58" s="4" t="inlineStr">
        <is>
          <t>일정추가 → 계획일자 칸 클릭 → 달력에서 어제 날짜 선택 → 저장</t>
        </is>
      </c>
      <c r="G58" s="3" t="inlineStr">
        <is>
          <t>"오늘 및 최종작업 완료일 이후로 생성" 안내 후 저장되지 않음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2" t="n"/>
      <c r="C59" s="42" t="n"/>
      <c r="D59" s="43" t="inlineStr">
        <is>
          <t>AD210_EC_003</t>
        </is>
      </c>
      <c r="E59" s="3" t="inlineStr">
        <is>
          <t>이미 계획이 있는 날짜에 일정을 추가한다.</t>
        </is>
      </c>
      <c r="F59" s="4" t="inlineStr">
        <is>
          <t>같은 주기·같은 설비에 이미 있는 계획 날짜로 일정추가 → 저장</t>
        </is>
      </c>
      <c r="G59" s="3" t="inlineStr">
        <is>
          <t>같은 날짜에 계획이 1건 더 생김 (설계: 동일 일자에 점검이 있어도 생성)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2" t="n"/>
      <c r="B60" s="42" t="n"/>
      <c r="C60" s="44" t="n"/>
      <c r="D60" s="43" t="inlineStr">
        <is>
          <t>AD210_EC_004</t>
        </is>
      </c>
      <c r="E60" s="3" t="inlineStr">
        <is>
          <t>여러 날짜를 한 번에 추가한다.</t>
        </is>
      </c>
      <c r="F60" s="4" t="inlineStr">
        <is>
          <t>일정추가 목록에서 생성 3번 → 서로 다른 날짜 3개 입력, 1개 행은 삭제 → 저장</t>
        </is>
      </c>
      <c r="G60" s="3" t="inlineStr">
        <is>
          <t>남은 날짜 2건만 계획으로 생기고 삭제한 행은 생기지 않음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6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3" t="inlineStr">
        <is>
          <t>Edit로 작업발행·작업완료 건을 수정한다.</t>
        </is>
      </c>
      <c r="F61" s="4" t="inlineStr">
        <is>
          <t>Edit → 작업발행, 작업완료 행의 비고 칸 수정 → 저장</t>
        </is>
      </c>
      <c r="G61" s="3" t="inlineStr">
        <is>
          <t>작업완료 건은 바뀌지 않고, 작업발행 건은 저장되지 않음 (설계: 점검오더가 발행되지 않은 작업만 저장)</t>
        </is>
      </c>
      <c r="H61" s="10">
        <f t="array" ref="H61">INDEX('Dev 조치사항'!$H$6:$H$985, MATCH(1, ('Dev 조치사항'!$D$6:$D$985=D61)*('Dev 조치사항'!$K$6:$K$985=_xlfn.MAXIFS('Dev 조치사항'!$K$6:$K$985, 'Dev 조치사항'!$D$6:$D$985, D61)), 0))</f>
        <v/>
      </c>
      <c r="I61" s="11">
        <f t="array" ref="I61">INDEX('Dev 조치사항'!$I$6:$I$985, MATCH(1, ('Dev 조치사항'!$D$6:$D$985=D61)*('Dev 조치사항'!$K$6:$K$985=_xlfn.MAXIFS('Dev 조치사항'!$K$6:$K$985, 'Dev 조치사항'!$D$6:$D$985, D61)), 0))</f>
        <v/>
      </c>
      <c r="J61" s="16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/>
      </c>
      <c r="K61" s="31">
        <f>_xlfn.MAXIFS('Dev 조치사항'!$K$6:$K$985, 'Dev 조치사항'!$D$6:$D$985, D61)</f>
        <v/>
      </c>
    </row>
    <row r="62" ht="16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3" t="inlineStr">
        <is>
          <t>작업일자에 잘못된 값을 넣는다.</t>
        </is>
      </c>
      <c r="F62" s="4" t="inlineStr">
        <is>
          <t>일정 상세 작업일자에 2026-13-40, 문자, 지난 날짜 입력 후 저장</t>
        </is>
      </c>
      <c r="G62" s="3" t="inlineStr">
        <is>
          <t>형식이 틀린 값은 막히고, 지난 날짜로 바꾸는 것은 허용됨 (사양 확인 2026-10-21)</t>
        </is>
      </c>
      <c r="H62" s="10">
        <f t="array" ref="H62">INDEX('Dev 조치사항'!$H$6:$H$985, MATCH(1, ('Dev 조치사항'!$D$6:$D$985=D62)*('Dev 조치사항'!$K$6:$K$985=_xlfn.MAXIFS('Dev 조치사항'!$K$6:$K$985, 'Dev 조치사항'!$D$6:$D$985, D62)), 0))</f>
        <v/>
      </c>
      <c r="I62" s="11">
        <f t="array" ref="I62">INDEX('Dev 조치사항'!$I$6:$I$985, MATCH(1, ('Dev 조치사항'!$D$6:$D$985=D62)*('Dev 조치사항'!$K$6:$K$985=_xlfn.MAXIFS('Dev 조치사항'!$K$6:$K$985, 'Dev 조치사항'!$D$6:$D$985, D62)), 0))</f>
        <v/>
      </c>
      <c r="J62" s="16">
        <f t="array" ref="J62">IF(
  INDEX('Dev 조치사항'!$J$6:$J$985,
    MATCH(1,
      ('Dev 조치사항'!$D$6:$D$985=D62)*
      ('Dev 조치사항'!$K$6:$K$985=_xlfn.MAXIFS('Dev 조치사항'!$K$6:$K$985, 'Dev 조치사항'!$D$6:$D$985, D62)),
    0)
  ) = "",
  "-",
  INDEX('Dev 조치사항'!$J$6:$J$985,
    MATCH(1,
      ('Dev 조치사항'!$D$6:$D$985=D62)*
      ('Dev 조치사항'!$K$6:$K$985=_xlfn.MAXIFS('Dev 조치사항'!$K$6:$K$985, 'Dev 조치사항'!$D$6:$D$985, D62)),
    0)
  )
)</f>
        <v/>
      </c>
      <c r="K62" s="31">
        <f>_xlfn.MAXIFS('Dev 조치사항'!$K$6:$K$985, 'Dev 조치사항'!$D$6:$D$985, D62)</f>
        <v/>
      </c>
    </row>
    <row r="63" ht="16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3" t="inlineStr">
        <is>
          <t>앞날짜 점검작업을 확정한다.</t>
        </is>
      </c>
      <c r="F63" s="4" t="inlineStr">
        <is>
          <t>점검일자가 내일 이후인 작업발행 건 → 확정</t>
        </is>
      </c>
      <c r="G63" s="3" t="inlineStr">
        <is>
          <t>"작업은 미리 완료처리할 수 없습니다" 안내, 확정되지 않음</t>
        </is>
      </c>
      <c r="H63" s="10">
        <f t="array" ref="H63">INDEX('Dev 조치사항'!$H$6:$H$985, MATCH(1, ('Dev 조치사항'!$D$6:$D$985=D63)*('Dev 조치사항'!$K$6:$K$985=_xlfn.MAXIFS('Dev 조치사항'!$K$6:$K$985, 'Dev 조치사항'!$D$6:$D$985, D63)), 0))</f>
        <v/>
      </c>
      <c r="I63" s="11">
        <f t="array" ref="I63">INDEX('Dev 조치사항'!$I$6:$I$985, MATCH(1, ('Dev 조치사항'!$D$6:$D$985=D63)*('Dev 조치사항'!$K$6:$K$985=_xlfn.MAXIFS('Dev 조치사항'!$K$6:$K$985, 'Dev 조치사항'!$D$6:$D$985, D63)), 0))</f>
        <v/>
      </c>
      <c r="J63" s="16">
        <f t="array" ref="J63">IF(
  INDEX('Dev 조치사항'!$J$6:$J$985,
    MATCH(1,
      ('Dev 조치사항'!$D$6:$D$985=D63)*
      ('Dev 조치사항'!$K$6:$K$985=_xlfn.MAXIFS('Dev 조치사항'!$K$6:$K$985, 'Dev 조치사항'!$D$6:$D$985, D63)),
    0)
  ) = "",
  "-",
  INDEX('Dev 조치사항'!$J$6:$J$985,
    MATCH(1,
      ('Dev 조치사항'!$D$6:$D$985=D63)*
      ('Dev 조치사항'!$K$6:$K$985=_xlfn.MAXIFS('Dev 조치사항'!$K$6:$K$985, 'Dev 조치사항'!$D$6:$D$985, D63)),
    0)
  )
)</f>
        <v/>
      </c>
      <c r="K63" s="31">
        <f>_xlfn.MAXIFS('Dev 조치사항'!$K$6:$K$985, 'Dev 조치사항'!$D$6:$D$985, D63)</f>
        <v/>
      </c>
    </row>
    <row r="64" ht="16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3" t="inlineStr">
        <is>
          <t>점검종료시간을 시작시간보다 앞으로 넣는다.</t>
        </is>
      </c>
      <c r="F64" s="4" t="inlineStr">
        <is>
          <t>점검작업 상세에서 점검종료 &lt; 점검시작 으로 입력 후 저장</t>
        </is>
      </c>
      <c r="G64" s="3" t="inlineStr">
        <is>
          <t>종료가 시작보다 앞이면 종료일자가 지워져 그대로 저장되지 않음 (사양 확인 2026-10-21)</t>
        </is>
      </c>
      <c r="H64" s="10">
        <f t="array" ref="H64">INDEX('Dev 조치사항'!$H$6:$H$985, MATCH(1, ('Dev 조치사항'!$D$6:$D$985=D64)*('Dev 조치사항'!$K$6:$K$985=_xlfn.MAXIFS('Dev 조치사항'!$K$6:$K$985, 'Dev 조치사항'!$D$6:$D$985, D64)), 0))</f>
        <v/>
      </c>
      <c r="I64" s="11">
        <f t="array" ref="I64">INDEX('Dev 조치사항'!$I$6:$I$985, MATCH(1, ('Dev 조치사항'!$D$6:$D$985=D64)*('Dev 조치사항'!$K$6:$K$985=_xlfn.MAXIFS('Dev 조치사항'!$K$6:$K$985, 'Dev 조치사항'!$D$6:$D$985, D64)), 0))</f>
        <v/>
      </c>
      <c r="J64" s="16">
        <f t="array" ref="J64">IF(
  INDEX('Dev 조치사항'!$J$6:$J$985,
    MATCH(1,
      ('Dev 조치사항'!$D$6:$D$985=D64)*
      ('Dev 조치사항'!$K$6:$K$985=_xlfn.MAXIFS('Dev 조치사항'!$K$6:$K$985, 'Dev 조치사항'!$D$6:$D$985, D64)),
    0)
  ) = "",
  "-",
  INDEX('Dev 조치사항'!$J$6:$J$985,
    MATCH(1,
      ('Dev 조치사항'!$D$6:$D$985=D64)*
      ('Dev 조치사항'!$K$6:$K$985=_xlfn.MAXIFS('Dev 조치사항'!$K$6:$K$985, 'Dev 조치사항'!$D$6:$D$985, D64)),
    0)
  )
)</f>
        <v/>
      </c>
      <c r="K64" s="31">
        <f>_xlfn.MAXIFS('Dev 조치사항'!$K$6:$K$985, 'Dev 조치사항'!$D$6:$D$985, D64)</f>
        <v/>
      </c>
    </row>
    <row r="65" ht="16.5" customHeight="1" s="49">
      <c r="A65" s="42" t="n"/>
      <c r="B65" s="42" t="n"/>
      <c r="C65" s="44" t="n"/>
      <c r="D65" s="43" t="inlineStr">
        <is>
          <t>AD210_EC_009</t>
        </is>
      </c>
      <c r="E65" s="3" t="inlineStr">
        <is>
          <t>작업완료 건을 수정한다.</t>
        </is>
      </c>
      <c r="F65" s="4" t="inlineStr">
        <is>
          <t>작업완료 행의 점검작업 상세에서 값 변경 후 저장</t>
        </is>
      </c>
      <c r="G65" s="3" t="inlineStr">
        <is>
          <t>수정이 막혀 값이 바뀌지 않음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3" t="inlineStr">
        <is>
          <t>같은 계획을 연속으로 확정한다.</t>
        </is>
      </c>
      <c r="F66" s="4" t="inlineStr">
        <is>
          <t>작업계획 행 체크 → 일정확정하기를 빠르게 두 번 클릭</t>
        </is>
      </c>
      <c r="G66" s="3" t="inlineStr">
        <is>
          <t>점검작업이 1건만 생기고 상태는 작업발행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3" t="inlineStr">
        <is>
          <t>비고·점검명에 특수문자와 긴 글자를 넣는다.</t>
        </is>
      </c>
      <c r="F67" s="4" t="inlineStr">
        <is>
          <t>점검작업 상세 비고, 점검명에 특수문자(' " &lt; &gt; &amp;)와 최대 길이 초과 문자열 입력 후 저장</t>
        </is>
      </c>
      <c r="G67" s="3" t="inlineStr">
        <is>
          <t>최대 길이 초과는 막히고, 특수문자는 깨지지 않고 저장·표시됨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3" t="inlineStr">
        <is>
          <t>카렌다 숫자와 목록(조건) 건수를 맞춰 본다.</t>
        </is>
      </c>
      <c r="F68" s="4" t="inlineStr">
        <is>
          <t>같은 기간·조건으로 카렌다(월간) 날짜 숫자 합과 목록(조건) 검색 Total 비교</t>
        </is>
      </c>
      <c r="G68" s="3" t="inlineStr">
        <is>
          <t>두 화면의 건수가 같음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A2:K2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8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inlineStr">
        <is>
          <t>최신영</t>
        </is>
      </c>
      <c r="I6" s="15" t="inlineStr">
        <is>
          <t>정상</t>
        </is>
      </c>
      <c r="J6" s="33" t="inlineStr"/>
      <c r="K6" s="51" t="n">
        <v>46315</v>
      </c>
      <c r="L6" s="5" t="inlineStr"/>
      <c r="M6" s="6" t="n"/>
      <c r="N6" s="6" t="n"/>
      <c r="O6" s="6" t="n"/>
      <c r="P6" s="6" t="n"/>
    </row>
    <row r="7" ht="13.5" customHeight="1" s="49">
      <c r="A7" s="42" t="n"/>
      <c r="B7" s="42" t="n"/>
      <c r="C7" s="42" t="n"/>
      <c r="D7" s="43" t="inlineStr">
        <is>
          <t>AD210_TC_002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inlineStr">
        <is>
          <t>최신영</t>
        </is>
      </c>
      <c r="I7" s="15" t="inlineStr">
        <is>
          <t>정상</t>
        </is>
      </c>
      <c r="J7" s="33" t="inlineStr"/>
      <c r="K7" s="51" t="n">
        <v>46315</v>
      </c>
      <c r="L7" s="5" t="inlineStr"/>
      <c r="M7" s="6" t="n"/>
      <c r="N7" s="6" t="n"/>
      <c r="O7" s="6" t="n"/>
      <c r="P7" s="6" t="n"/>
    </row>
    <row r="8" ht="13.5" customHeight="1" s="49">
      <c r="A8" s="42" t="n"/>
      <c r="B8" s="42" t="n"/>
      <c r="C8" s="42" t="n"/>
      <c r="D8" s="43" t="inlineStr">
        <is>
          <t>AD210_TC_003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inlineStr">
        <is>
          <t>최신영</t>
        </is>
      </c>
      <c r="I8" s="15" t="inlineStr">
        <is>
          <t>정상</t>
        </is>
      </c>
      <c r="J8" s="33" t="inlineStr"/>
      <c r="K8" s="51" t="n">
        <v>46315</v>
      </c>
      <c r="L8" s="5" t="inlineStr"/>
      <c r="M8" s="6" t="n"/>
      <c r="N8" s="6" t="n"/>
      <c r="O8" s="6" t="n"/>
      <c r="P8" s="6" t="n"/>
    </row>
    <row r="9" ht="13.5" customHeight="1" s="49">
      <c r="A9" s="42" t="n"/>
      <c r="B9" s="42" t="n"/>
      <c r="C9" s="42" t="n"/>
      <c r="D9" s="43" t="inlineStr">
        <is>
          <t>AD210_TC_004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inlineStr">
        <is>
          <t>최신영</t>
        </is>
      </c>
      <c r="I9" s="15" t="inlineStr">
        <is>
          <t>정상</t>
        </is>
      </c>
      <c r="J9" s="33" t="inlineStr"/>
      <c r="K9" s="51" t="n">
        <v>46315</v>
      </c>
      <c r="L9" s="5" t="inlineStr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AD210_TC_005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inlineStr">
        <is>
          <t>최신영</t>
        </is>
      </c>
      <c r="I10" s="15" t="inlineStr">
        <is>
          <t>정상</t>
        </is>
      </c>
      <c r="J10" s="33" t="inlineStr"/>
      <c r="K10" s="51" t="n">
        <v>46315</v>
      </c>
      <c r="L10" s="5" t="inlineStr"/>
      <c r="M10" s="6" t="n"/>
      <c r="N10" s="6" t="n"/>
      <c r="O10" s="6" t="n"/>
      <c r="P10" s="6" t="n"/>
    </row>
    <row r="11" ht="13.5" customHeight="1" s="49">
      <c r="A11" s="42" t="n"/>
      <c r="B11" s="42" t="n"/>
      <c r="C11" s="42" t="n"/>
      <c r="D11" s="43" t="inlineStr">
        <is>
          <t>AD210_TC_006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inlineStr">
        <is>
          <t>최신영</t>
        </is>
      </c>
      <c r="I11" s="15" t="inlineStr">
        <is>
          <t>정상</t>
        </is>
      </c>
      <c r="J11" s="33" t="inlineStr"/>
      <c r="K11" s="51" t="n">
        <v>46315</v>
      </c>
      <c r="L11" s="5" t="inlineStr"/>
      <c r="M11" s="6" t="n"/>
      <c r="N11" s="6" t="n"/>
      <c r="O11" s="6" t="n"/>
      <c r="P11" s="6" t="n"/>
    </row>
    <row r="12" ht="13.5" customHeight="1" s="49">
      <c r="A12" s="42" t="n"/>
      <c r="B12" s="44" t="n"/>
      <c r="C12" s="44" t="n"/>
      <c r="D12" s="43" t="inlineStr">
        <is>
          <t>AD210_TC_007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inlineStr">
        <is>
          <t>최신영</t>
        </is>
      </c>
      <c r="I12" s="15" t="inlineStr">
        <is>
          <t>정상</t>
        </is>
      </c>
      <c r="J12" s="33" t="inlineStr"/>
      <c r="K12" s="51" t="n">
        <v>46315</v>
      </c>
      <c r="L12" s="5" t="inlineStr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inlineStr">
        <is>
          <t>최신영</t>
        </is>
      </c>
      <c r="I13" s="15" t="inlineStr">
        <is>
          <t>정상</t>
        </is>
      </c>
      <c r="J13" s="33" t="inlineStr"/>
      <c r="K13" s="51" t="n">
        <v>46315</v>
      </c>
      <c r="L13" s="5" t="inlineStr"/>
      <c r="M13" s="6" t="n"/>
      <c r="N13" s="6" t="n"/>
      <c r="O13" s="6" t="n"/>
      <c r="P13" s="6" t="n"/>
    </row>
    <row r="14" ht="13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inlineStr">
        <is>
          <t>최신영</t>
        </is>
      </c>
      <c r="I14" s="15" t="inlineStr">
        <is>
          <t>정상</t>
        </is>
      </c>
      <c r="J14" s="33" t="inlineStr"/>
      <c r="K14" s="51" t="n">
        <v>46315</v>
      </c>
      <c r="L14" s="5" t="inlineStr"/>
      <c r="M14" s="6" t="n"/>
      <c r="N14" s="6" t="n"/>
      <c r="O14" s="6" t="n"/>
      <c r="P14" s="6" t="n"/>
    </row>
    <row r="15" ht="13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inlineStr">
        <is>
          <t>최신영</t>
        </is>
      </c>
      <c r="I15" s="15" t="inlineStr">
        <is>
          <t>정상</t>
        </is>
      </c>
      <c r="J15" s="33" t="inlineStr"/>
      <c r="K15" s="51" t="n">
        <v>46315</v>
      </c>
      <c r="L15" s="5" t="inlineStr"/>
      <c r="M15" s="6" t="n"/>
      <c r="N15" s="6" t="n"/>
      <c r="O15" s="6" t="n"/>
      <c r="P15" s="6" t="n"/>
    </row>
    <row r="16" ht="13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inlineStr">
        <is>
          <t>최신영</t>
        </is>
      </c>
      <c r="I16" s="15" t="inlineStr">
        <is>
          <t>정상</t>
        </is>
      </c>
      <c r="J16" s="33" t="inlineStr"/>
      <c r="K16" s="51" t="n">
        <v>46315</v>
      </c>
      <c r="L16" s="5" t="inlineStr"/>
      <c r="M16" s="6" t="n"/>
      <c r="N16" s="6" t="n"/>
      <c r="O16" s="6" t="n"/>
      <c r="P16" s="6" t="n"/>
    </row>
    <row r="17" ht="13.5" customHeight="1" s="49">
      <c r="A17" s="42" t="n"/>
      <c r="B17" s="42" t="n"/>
      <c r="C17" s="42" t="n"/>
      <c r="D17" s="43" t="inlineStr">
        <is>
          <t>AD210_TC_012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inlineStr">
        <is>
          <t>최신영</t>
        </is>
      </c>
      <c r="I17" s="15" t="inlineStr">
        <is>
          <t>정상</t>
        </is>
      </c>
      <c r="J17" s="33" t="inlineStr"/>
      <c r="K17" s="51" t="n">
        <v>46315</v>
      </c>
      <c r="L17" s="5" t="inlineStr"/>
      <c r="M17" s="6" t="n"/>
      <c r="N17" s="6" t="n"/>
      <c r="O17" s="6" t="n"/>
      <c r="P17" s="6" t="n"/>
    </row>
    <row r="18" ht="13.5" customHeight="1" s="49">
      <c r="A18" s="42" t="n"/>
      <c r="B18" s="42" t="n"/>
      <c r="C18" s="42" t="n"/>
      <c r="D18" s="43" t="inlineStr">
        <is>
          <t>AD210_TC_013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inlineStr">
        <is>
          <t>최신영</t>
        </is>
      </c>
      <c r="I18" s="15" t="inlineStr">
        <is>
          <t>정상</t>
        </is>
      </c>
      <c r="J18" s="33" t="inlineStr"/>
      <c r="K18" s="51" t="n">
        <v>46315</v>
      </c>
      <c r="L18" s="5" t="inlineStr"/>
      <c r="M18" s="6" t="n"/>
      <c r="N18" s="6" t="n"/>
      <c r="O18" s="6" t="n"/>
      <c r="P18" s="6" t="n"/>
    </row>
    <row r="19" ht="13.5" customHeight="1" s="49">
      <c r="A19" s="42" t="n"/>
      <c r="B19" s="42" t="n"/>
      <c r="C19" s="42" t="n"/>
      <c r="D19" s="43" t="inlineStr">
        <is>
          <t>AD210_TC_014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inlineStr">
        <is>
          <t>최신영</t>
        </is>
      </c>
      <c r="I19" s="15" t="inlineStr">
        <is>
          <t>정상</t>
        </is>
      </c>
      <c r="J19" s="33" t="inlineStr"/>
      <c r="K19" s="51" t="n">
        <v>46315</v>
      </c>
      <c r="L19" s="5" t="inlineStr"/>
      <c r="M19" s="6" t="n"/>
      <c r="N19" s="6" t="n"/>
      <c r="O19" s="6" t="n"/>
      <c r="P19" s="6" t="n"/>
    </row>
    <row r="20" ht="13.5" customHeight="1" s="49">
      <c r="A20" s="42" t="n"/>
      <c r="B20" s="42" t="n"/>
      <c r="C20" s="42" t="n"/>
      <c r="D20" s="43" t="inlineStr">
        <is>
          <t>AD210_TC_015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inlineStr">
        <is>
          <t>최신영</t>
        </is>
      </c>
      <c r="I20" s="15" t="inlineStr">
        <is>
          <t>정상</t>
        </is>
      </c>
      <c r="J20" s="33" t="inlineStr"/>
      <c r="K20" s="51" t="n">
        <v>46315</v>
      </c>
      <c r="L20" s="5" t="inlineStr"/>
      <c r="M20" s="6" t="n"/>
      <c r="N20" s="6" t="n"/>
      <c r="O20" s="6" t="n"/>
      <c r="P20" s="6" t="n"/>
    </row>
    <row r="21" ht="13.5" customHeight="1" s="49">
      <c r="A21" s="42" t="n"/>
      <c r="B21" s="42" t="n"/>
      <c r="C21" s="42" t="n"/>
      <c r="D21" s="43" t="inlineStr">
        <is>
          <t>AD210_TC_016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inlineStr">
        <is>
          <t>최신영</t>
        </is>
      </c>
      <c r="I21" s="15" t="inlineStr">
        <is>
          <t>오류</t>
        </is>
      </c>
      <c r="J21" s="33" t="inlineStr">
        <is>
          <t>목록(위치)·목록(종류) 탭 완료일자가 '20261019' 형식으로 표시 (각 12건).
→ 기대: yyyy-mm-dd (카렌다·목록(조건) 탭은 정상)</t>
        </is>
      </c>
      <c r="K21" s="51" t="n">
        <v>46315</v>
      </c>
      <c r="L21" s="5" t="inlineStr">
        <is>
          <t>ad210-TC_016.png</t>
        </is>
      </c>
      <c r="M21" s="6" t="n"/>
      <c r="N21" s="6" t="n"/>
      <c r="O21" s="6" t="n"/>
      <c r="P21" s="6" t="n"/>
    </row>
    <row r="22" ht="13.5" customHeight="1" s="49">
      <c r="A22" s="42" t="n"/>
      <c r="B22" s="42" t="n"/>
      <c r="C22" s="42" t="n"/>
      <c r="D22" s="43" t="inlineStr">
        <is>
          <t>AD210_TC_017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inlineStr">
        <is>
          <t>최신영</t>
        </is>
      </c>
      <c r="I22" s="15" t="inlineStr">
        <is>
          <t>정상</t>
        </is>
      </c>
      <c r="J22" s="33" t="inlineStr"/>
      <c r="K22" s="51" t="n">
        <v>46315</v>
      </c>
      <c r="L22" s="5" t="inlineStr"/>
      <c r="M22" s="6" t="n"/>
      <c r="N22" s="6" t="n"/>
      <c r="O22" s="6" t="n"/>
      <c r="P22" s="6" t="n"/>
    </row>
    <row r="23" ht="13.5" customHeight="1" s="49">
      <c r="A23" s="42" t="n"/>
      <c r="B23" s="42" t="n"/>
      <c r="C23" s="44" t="n"/>
      <c r="D23" s="43" t="inlineStr">
        <is>
          <t>AD210_TC_018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inlineStr">
        <is>
          <t>최신영</t>
        </is>
      </c>
      <c r="I23" s="15" t="inlineStr">
        <is>
          <t>정상</t>
        </is>
      </c>
      <c r="J23" s="33" t="inlineStr"/>
      <c r="K23" s="51" t="n">
        <v>46315</v>
      </c>
      <c r="L23" s="5" t="inlineStr"/>
      <c r="M23" s="6" t="n"/>
      <c r="N23" s="6" t="n"/>
      <c r="O23" s="6" t="n"/>
      <c r="P23" s="6" t="n"/>
    </row>
    <row r="24" ht="13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inlineStr">
        <is>
          <t>최신영</t>
        </is>
      </c>
      <c r="I24" s="15" t="inlineStr">
        <is>
          <t>정상</t>
        </is>
      </c>
      <c r="J24" s="33" t="inlineStr"/>
      <c r="K24" s="51" t="n">
        <v>46315</v>
      </c>
      <c r="L24" s="5" t="inlineStr"/>
      <c r="M24" s="6" t="n"/>
      <c r="N24" s="6" t="n"/>
      <c r="O24" s="6" t="n"/>
      <c r="P24" s="6" t="n"/>
    </row>
    <row r="25" ht="13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inlineStr">
        <is>
          <t>최신영</t>
        </is>
      </c>
      <c r="I25" s="15" t="inlineStr">
        <is>
          <t>정상</t>
        </is>
      </c>
      <c r="J25" s="33" t="inlineStr"/>
      <c r="K25" s="51" t="n">
        <v>46315</v>
      </c>
      <c r="L25" s="5" t="inlineStr"/>
      <c r="M25" s="6" t="n"/>
      <c r="N25" s="6" t="n"/>
      <c r="O25" s="6" t="n"/>
      <c r="P25" s="6" t="n"/>
    </row>
    <row r="26" ht="13.5" customHeight="1" s="49">
      <c r="A26" s="42" t="n"/>
      <c r="B26" s="42" t="n"/>
      <c r="C26" s="42" t="n"/>
      <c r="D26" s="43" t="inlineStr">
        <is>
          <t>AD210_TC_021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inlineStr">
        <is>
          <t>최신영</t>
        </is>
      </c>
      <c r="I26" s="15" t="inlineStr">
        <is>
          <t>정상</t>
        </is>
      </c>
      <c r="J26" s="33" t="inlineStr"/>
      <c r="K26" s="51" t="n">
        <v>46315</v>
      </c>
      <c r="L26" s="5" t="inlineStr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AD210_TC_022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inlineStr">
        <is>
          <t>최신영</t>
        </is>
      </c>
      <c r="I27" s="15" t="inlineStr">
        <is>
          <t>정상</t>
        </is>
      </c>
      <c r="J27" s="33" t="inlineStr"/>
      <c r="K27" s="51" t="n">
        <v>46315</v>
      </c>
      <c r="L27" s="5" t="inlineStr"/>
      <c r="M27" s="6" t="n"/>
      <c r="N27" s="6" t="n"/>
      <c r="O27" s="6" t="n"/>
      <c r="P27" s="6" t="n"/>
    </row>
    <row r="28" ht="13.5" customHeight="1" s="49">
      <c r="A28" s="42" t="n"/>
      <c r="B28" s="42" t="n"/>
      <c r="C28" s="44" t="n"/>
      <c r="D28" s="43" t="inlineStr">
        <is>
          <t>AD210_TC_023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inlineStr">
        <is>
          <t>최신영</t>
        </is>
      </c>
      <c r="I28" s="15" t="inlineStr">
        <is>
          <t>정상</t>
        </is>
      </c>
      <c r="J28" s="33" t="inlineStr"/>
      <c r="K28" s="51" t="n">
        <v>46315</v>
      </c>
      <c r="L28" s="5" t="inlineStr"/>
      <c r="M28" s="6" t="n"/>
      <c r="N28" s="6" t="n"/>
      <c r="O28" s="6" t="n"/>
      <c r="P28" s="6" t="n"/>
    </row>
    <row r="29" ht="13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inlineStr">
        <is>
          <t>최신영</t>
        </is>
      </c>
      <c r="I29" s="15" t="inlineStr">
        <is>
          <t>오류</t>
        </is>
      </c>
      <c r="J29" s="33" t="inlineStr">
        <is>
          <t>카렌다(연간) 탭에서 작업계획 체크 → [삭제] → OK → 안내 없이 삭제되지 않음. 목록(조건) 탭 삭제는 정상.
→ 기대: 연간 탭에서도 삭제</t>
        </is>
      </c>
      <c r="K29" s="51" t="n">
        <v>46315</v>
      </c>
      <c r="L29" s="5" t="inlineStr">
        <is>
          <t>ad210-TC_024.png</t>
        </is>
      </c>
      <c r="M29" s="6" t="n"/>
      <c r="N29" s="6" t="n"/>
      <c r="O29" s="6" t="n"/>
      <c r="P29" s="6" t="n"/>
    </row>
    <row r="30" ht="13.5" customHeight="1" s="49">
      <c r="A30" s="42" t="n"/>
      <c r="B30" s="42" t="n"/>
      <c r="C30" s="44" t="n"/>
      <c r="D30" s="43" t="inlineStr">
        <is>
          <t>AD210_TC_025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inlineStr">
        <is>
          <t>최신영</t>
        </is>
      </c>
      <c r="I30" s="15" t="inlineStr">
        <is>
          <t>정상</t>
        </is>
      </c>
      <c r="J30" s="33" t="inlineStr"/>
      <c r="K30" s="51" t="n">
        <v>46315</v>
      </c>
      <c r="L30" s="5" t="inlineStr"/>
      <c r="M30" s="6" t="n"/>
      <c r="N30" s="6" t="n"/>
      <c r="O30" s="6" t="n"/>
      <c r="P30" s="6" t="n"/>
    </row>
    <row r="31" ht="13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inlineStr">
        <is>
          <t>최신영</t>
        </is>
      </c>
      <c r="I31" s="15" t="inlineStr">
        <is>
          <t>정상</t>
        </is>
      </c>
      <c r="J31" s="33" t="inlineStr"/>
      <c r="K31" s="51" t="n">
        <v>46315</v>
      </c>
      <c r="L31" s="5" t="inlineStr"/>
      <c r="M31" s="6" t="n"/>
      <c r="N31" s="6" t="n"/>
      <c r="O31" s="6" t="n"/>
      <c r="P31" s="6" t="n"/>
    </row>
    <row r="32" ht="13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inlineStr">
        <is>
          <t>최신영</t>
        </is>
      </c>
      <c r="I32" s="15" t="inlineStr">
        <is>
          <t>정상</t>
        </is>
      </c>
      <c r="J32" s="33" t="inlineStr">
        <is>
          <t>[개선] Field 설정: 검색 필드·목록 칼럼 숨김/보이기, [초기화] 바로 반영 정상. 화면표시명 칸은 Edit 모드에서 입력칸이 열리지 않음.
Tab 설정: 일정 상세 탭 Display N 후 [초기화] → 다시 로그인해야 상세가 열림 (Edit 로 Y 저장하면 바로 반영). 수정 예정이라 개선으로 기록</t>
        </is>
      </c>
      <c r="K32" s="51" t="n">
        <v>46315</v>
      </c>
      <c r="L32" s="5" t="inlineStr">
        <is>
          <t>ad210-TC_027.png</t>
        </is>
      </c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inlineStr">
        <is>
          <t>최신영</t>
        </is>
      </c>
      <c r="I33" s="15" t="inlineStr">
        <is>
          <t>정상</t>
        </is>
      </c>
      <c r="J33" s="33" t="inlineStr"/>
      <c r="K33" s="51" t="n">
        <v>46315</v>
      </c>
      <c r="L33" s="5" t="inlineStr"/>
      <c r="M33" s="6" t="n"/>
      <c r="N33" s="6" t="n"/>
      <c r="O33" s="6" t="n"/>
      <c r="P33" s="6" t="n"/>
    </row>
    <row r="34" ht="13.5" customHeight="1" s="49">
      <c r="A34" s="42" t="n"/>
      <c r="B34" s="42" t="n"/>
      <c r="C34" s="42" t="n"/>
      <c r="D34" s="43" t="inlineStr">
        <is>
          <t>AD210_TC_029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inlineStr">
        <is>
          <t>최신영</t>
        </is>
      </c>
      <c r="I34" s="15" t="inlineStr">
        <is>
          <t>정상</t>
        </is>
      </c>
      <c r="J34" s="33" t="inlineStr"/>
      <c r="K34" s="51" t="n">
        <v>46315</v>
      </c>
      <c r="L34" s="5" t="inlineStr"/>
      <c r="M34" s="6" t="n"/>
      <c r="N34" s="6" t="n"/>
      <c r="O34" s="6" t="n"/>
      <c r="P34" s="6" t="n"/>
    </row>
    <row r="35" ht="13.5" customHeight="1" s="49">
      <c r="A35" s="42" t="n"/>
      <c r="B35" s="42" t="n"/>
      <c r="C35" s="44" t="n"/>
      <c r="D35" s="43" t="inlineStr">
        <is>
          <t>AD210_TC_030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inlineStr">
        <is>
          <t>최신영</t>
        </is>
      </c>
      <c r="I35" s="15" t="inlineStr">
        <is>
          <t>정상</t>
        </is>
      </c>
      <c r="J35" s="33" t="inlineStr">
        <is>
          <t>[개선] 예방작업번호 없이 저장 → 필수 안내 정상.
예방작업번호만 고르고 계획일자 없이 [저장] → 6초 동안 확인창·안내 없음 (설계서: '선택한 데이터가 없습니다'). 계획은 생기지 않음.</t>
        </is>
      </c>
      <c r="K35" s="51" t="n">
        <v>46315</v>
      </c>
      <c r="L35" s="5" t="inlineStr">
        <is>
          <t>ad210-TC_030.png</t>
        </is>
      </c>
      <c r="M35" s="6" t="n"/>
      <c r="N35" s="6" t="n"/>
      <c r="O35" s="6" t="n"/>
      <c r="P35" s="6" t="n"/>
    </row>
    <row r="36" ht="13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inlineStr">
        <is>
          <t>최신영</t>
        </is>
      </c>
      <c r="I36" s="15" t="inlineStr">
        <is>
          <t>정상</t>
        </is>
      </c>
      <c r="J36" s="33" t="inlineStr"/>
      <c r="K36" s="51" t="n">
        <v>46315</v>
      </c>
      <c r="L36" s="5" t="inlineStr"/>
      <c r="M36" s="6" t="n"/>
      <c r="N36" s="6" t="n"/>
      <c r="O36" s="6" t="n"/>
      <c r="P36" s="6" t="n"/>
    </row>
    <row r="37" ht="13.5" customHeight="1" s="49">
      <c r="A37" s="42" t="n"/>
      <c r="B37" s="42" t="n"/>
      <c r="C37" s="42" t="n"/>
      <c r="D37" s="43" t="inlineStr">
        <is>
          <t>AD210_TC_032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inlineStr">
        <is>
          <t>최신영</t>
        </is>
      </c>
      <c r="I37" s="15" t="inlineStr">
        <is>
          <t>정상</t>
        </is>
      </c>
      <c r="J37" s="33" t="inlineStr"/>
      <c r="K37" s="51" t="n">
        <v>46315</v>
      </c>
      <c r="L37" s="5" t="inlineStr"/>
      <c r="M37" s="6" t="n"/>
      <c r="N37" s="6" t="n"/>
      <c r="O37" s="6" t="n"/>
      <c r="P37" s="6" t="n"/>
    </row>
    <row r="38" ht="13.5" customHeight="1" s="49">
      <c r="A38" s="42" t="n"/>
      <c r="B38" s="44" t="n"/>
      <c r="C38" s="44" t="n"/>
      <c r="D38" s="43" t="inlineStr">
        <is>
          <t>AD210_TC_033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inlineStr">
        <is>
          <t>최신영</t>
        </is>
      </c>
      <c r="I38" s="15" t="inlineStr">
        <is>
          <t>정상</t>
        </is>
      </c>
      <c r="J38" s="33" t="inlineStr"/>
      <c r="K38" s="51" t="n">
        <v>46315</v>
      </c>
      <c r="L38" s="5" t="inlineStr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inlineStr">
        <is>
          <t>최신영</t>
        </is>
      </c>
      <c r="I39" s="15" t="inlineStr">
        <is>
          <t>정상</t>
        </is>
      </c>
      <c r="J39" s="33" t="inlineStr"/>
      <c r="K39" s="51" t="n">
        <v>46315</v>
      </c>
      <c r="L39" s="5" t="inlineStr"/>
      <c r="M39" s="6" t="n"/>
      <c r="N39" s="6" t="n"/>
      <c r="O39" s="6" t="n"/>
      <c r="P39" s="6" t="n"/>
    </row>
    <row r="40" ht="13.5" customHeight="1" s="49">
      <c r="A40" s="42" t="n"/>
      <c r="B40" s="42" t="n"/>
      <c r="C40" s="44" t="n"/>
      <c r="D40" s="43" t="inlineStr">
        <is>
          <t>AD210_TC_035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inlineStr">
        <is>
          <t>최신영</t>
        </is>
      </c>
      <c r="I40" s="15" t="inlineStr">
        <is>
          <t>정상</t>
        </is>
      </c>
      <c r="J40" s="33" t="inlineStr"/>
      <c r="K40" s="51" t="n">
        <v>46315</v>
      </c>
      <c r="L40" s="5" t="inlineStr"/>
      <c r="M40" s="6" t="n"/>
      <c r="N40" s="6" t="n"/>
      <c r="O40" s="6" t="n"/>
      <c r="P40" s="6" t="n"/>
    </row>
    <row r="41" ht="13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inlineStr">
        <is>
          <t>최신영</t>
        </is>
      </c>
      <c r="I41" s="15" t="inlineStr">
        <is>
          <t>정상</t>
        </is>
      </c>
      <c r="J41" s="33" t="inlineStr"/>
      <c r="K41" s="51" t="n">
        <v>46315</v>
      </c>
      <c r="L41" s="5" t="inlineStr"/>
      <c r="M41" s="6" t="n"/>
      <c r="N41" s="6" t="n"/>
      <c r="O41" s="6" t="n"/>
      <c r="P41" s="6" t="n"/>
    </row>
    <row r="42" ht="13.5" customHeight="1" s="49">
      <c r="A42" s="42" t="n"/>
      <c r="B42" s="42" t="n"/>
      <c r="C42" s="44" t="n"/>
      <c r="D42" s="43" t="inlineStr">
        <is>
          <t>AD210_TC_037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inlineStr">
        <is>
          <t>최신영</t>
        </is>
      </c>
      <c r="I42" s="15" t="inlineStr">
        <is>
          <t>정상</t>
        </is>
      </c>
      <c r="J42" s="33" t="inlineStr">
        <is>
          <t>[개선] 작업발행 점검작업에서 점검명을 비우고 [확정] → 6초 동안 확인창·안내 없음, 확정되지 않음 (기대: 필수값 안내).</t>
        </is>
      </c>
      <c r="K42" s="51" t="n">
        <v>46315</v>
      </c>
      <c r="L42" s="5" t="inlineStr">
        <is>
          <t>ad210-TC_037.png</t>
        </is>
      </c>
      <c r="M42" s="6" t="n"/>
      <c r="N42" s="6" t="n"/>
      <c r="O42" s="6" t="n"/>
      <c r="P42" s="6" t="n"/>
    </row>
    <row r="43" ht="13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inlineStr">
        <is>
          <t>최신영</t>
        </is>
      </c>
      <c r="I43" s="15" t="inlineStr">
        <is>
          <t>정상</t>
        </is>
      </c>
      <c r="J43" s="33" t="inlineStr"/>
      <c r="K43" s="51" t="n">
        <v>46315</v>
      </c>
      <c r="L43" s="5" t="inlineStr"/>
      <c r="M43" s="6" t="n"/>
      <c r="N43" s="6" t="n"/>
      <c r="O43" s="6" t="n"/>
      <c r="P43" s="6" t="n"/>
    </row>
    <row r="44" ht="13.5" customHeight="1" s="49">
      <c r="A44" s="42" t="n"/>
      <c r="B44" s="44" t="n"/>
      <c r="C44" s="44" t="n"/>
      <c r="D44" s="43" t="inlineStr">
        <is>
          <t>AD210_TC_039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inlineStr">
        <is>
          <t>최신영</t>
        </is>
      </c>
      <c r="I44" s="15" t="inlineStr">
        <is>
          <t>정상</t>
        </is>
      </c>
      <c r="J44" s="33" t="inlineStr"/>
      <c r="K44" s="51" t="n">
        <v>46315</v>
      </c>
      <c r="L44" s="5" t="inlineStr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inlineStr">
        <is>
          <t>최신영</t>
        </is>
      </c>
      <c r="I45" s="15" t="inlineStr">
        <is>
          <t>정상</t>
        </is>
      </c>
      <c r="J45" s="33" t="inlineStr"/>
      <c r="K45" s="51" t="n">
        <v>46315</v>
      </c>
      <c r="L45" s="5" t="inlineStr"/>
      <c r="M45" s="6" t="n"/>
      <c r="N45" s="6" t="n"/>
      <c r="O45" s="6" t="n"/>
      <c r="P45" s="6" t="n"/>
    </row>
    <row r="46" ht="13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inlineStr">
        <is>
          <t>최신영</t>
        </is>
      </c>
      <c r="I46" s="15" t="inlineStr">
        <is>
          <t>정상</t>
        </is>
      </c>
      <c r="J46" s="33" t="inlineStr"/>
      <c r="K46" s="51" t="n">
        <v>46315</v>
      </c>
      <c r="L46" s="5" t="inlineStr"/>
      <c r="M46" s="6" t="n"/>
      <c r="N46" s="6" t="n"/>
      <c r="O46" s="6" t="n"/>
      <c r="P46" s="6" t="n"/>
    </row>
    <row r="47" ht="13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inlineStr">
        <is>
          <t>최신영</t>
        </is>
      </c>
      <c r="I47" s="15" t="inlineStr">
        <is>
          <t>정상</t>
        </is>
      </c>
      <c r="J47" s="33" t="inlineStr"/>
      <c r="K47" s="51" t="n">
        <v>46315</v>
      </c>
      <c r="L47" s="5" t="inlineStr"/>
      <c r="M47" s="6" t="n"/>
      <c r="N47" s="6" t="n"/>
      <c r="O47" s="6" t="n"/>
      <c r="P47" s="6" t="n"/>
    </row>
    <row r="48" ht="13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inlineStr">
        <is>
          <t>최신영</t>
        </is>
      </c>
      <c r="I48" s="15" t="inlineStr">
        <is>
          <t>정상</t>
        </is>
      </c>
      <c r="J48" s="33" t="inlineStr"/>
      <c r="K48" s="51" t="n">
        <v>46315</v>
      </c>
      <c r="L48" s="5" t="inlineStr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inlineStr">
        <is>
          <t>최신영</t>
        </is>
      </c>
      <c r="I49" s="15" t="inlineStr">
        <is>
          <t>정상</t>
        </is>
      </c>
      <c r="J49" s="33" t="inlineStr"/>
      <c r="K49" s="51" t="n">
        <v>46315</v>
      </c>
      <c r="L49" s="5" t="inlineStr"/>
      <c r="M49" s="6" t="n"/>
      <c r="N49" s="6" t="n"/>
      <c r="O49" s="6" t="n"/>
      <c r="P49" s="6" t="n"/>
    </row>
    <row r="50" ht="13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inlineStr">
        <is>
          <t>최신영</t>
        </is>
      </c>
      <c r="I50" s="15" t="inlineStr">
        <is>
          <t>정상</t>
        </is>
      </c>
      <c r="J50" s="33" t="inlineStr"/>
      <c r="K50" s="51" t="n">
        <v>46315</v>
      </c>
      <c r="L50" s="5" t="inlineStr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inlineStr">
        <is>
          <t>최신영</t>
        </is>
      </c>
      <c r="I51" s="15" t="inlineStr">
        <is>
          <t>정상</t>
        </is>
      </c>
      <c r="J51" s="33" t="inlineStr"/>
      <c r="K51" s="51" t="n">
        <v>46315</v>
      </c>
      <c r="L51" s="5" t="inlineStr"/>
      <c r="M51" s="6" t="n"/>
      <c r="N51" s="6" t="n"/>
      <c r="O51" s="6" t="n"/>
      <c r="P51" s="6" t="n"/>
    </row>
    <row r="52" ht="13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inlineStr">
        <is>
          <t>최신영</t>
        </is>
      </c>
      <c r="I52" s="15" t="inlineStr">
        <is>
          <t>정상</t>
        </is>
      </c>
      <c r="J52" s="33" t="inlineStr"/>
      <c r="K52" s="51" t="n">
        <v>46315</v>
      </c>
      <c r="L52" s="5" t="inlineStr"/>
      <c r="M52" s="6" t="n"/>
      <c r="N52" s="6" t="n"/>
      <c r="O52" s="6" t="n"/>
      <c r="P52" s="6" t="n"/>
    </row>
    <row r="53" ht="13.5" customHeight="1" s="49"/>
    <row r="54" ht="40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23" t="inlineStr">
        <is>
          <t>QA날짜</t>
        </is>
      </c>
      <c r="L56" s="23" t="inlineStr">
        <is>
          <t>첨부파일</t>
        </is>
      </c>
      <c r="M56" s="24" t="inlineStr">
        <is>
          <t>Dev</t>
        </is>
      </c>
      <c r="N56" s="24" t="inlineStr">
        <is>
          <t>조치결과
(완료/불가/보류)</t>
        </is>
      </c>
      <c r="O56" s="25" t="inlineStr">
        <is>
          <t>조치내용</t>
        </is>
      </c>
      <c r="P56" s="26" t="inlineStr">
        <is>
          <t>조치날짜</t>
        </is>
      </c>
    </row>
    <row r="57" ht="13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inlineStr">
        <is>
          <t>최신영</t>
        </is>
      </c>
      <c r="I57" s="15" t="inlineStr">
        <is>
          <t>정상</t>
        </is>
      </c>
      <c r="J57" s="33" t="inlineStr"/>
      <c r="K57" s="51" t="n">
        <v>46315</v>
      </c>
      <c r="L57" s="5" t="inlineStr"/>
      <c r="M57" s="6" t="n"/>
      <c r="N57" s="6" t="n"/>
      <c r="O57" s="6" t="n"/>
      <c r="P57" s="6" t="n"/>
    </row>
    <row r="58" ht="13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inlineStr">
        <is>
          <t>최신영</t>
        </is>
      </c>
      <c r="I58" s="15" t="inlineStr">
        <is>
          <t>오류</t>
        </is>
      </c>
      <c r="J58" s="33" t="inlineStr">
        <is>
          <t>일정추가 계획일자 칸의 달력에서 어제(2026-10-20)가 선택 가능 → 저장 시 '처리되었습니다', 작업계획 생성됨.
→ 기대: 오늘·최종 완료일 이후만 생성 (팝업 안내 문구와 다름)</t>
        </is>
      </c>
      <c r="K58" s="51" t="n">
        <v>46315</v>
      </c>
      <c r="L58" s="5" t="inlineStr">
        <is>
          <t>ad210-EC_002-calendar.png, ad210-EC_002.png</t>
        </is>
      </c>
      <c r="M58" s="6" t="n"/>
      <c r="N58" s="6" t="n"/>
      <c r="O58" s="6" t="n"/>
      <c r="P58" s="6" t="n"/>
    </row>
    <row r="59" ht="13.5" customHeight="1" s="49">
      <c r="A59" s="42" t="n"/>
      <c r="B59" s="42" t="n"/>
      <c r="C59" s="42" t="n"/>
      <c r="D59" s="43" t="inlineStr">
        <is>
          <t>AD210_EC_003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inlineStr">
        <is>
          <t>최신영</t>
        </is>
      </c>
      <c r="I59" s="15" t="inlineStr">
        <is>
          <t>정상</t>
        </is>
      </c>
      <c r="J59" s="33" t="inlineStr"/>
      <c r="K59" s="51" t="n">
        <v>46315</v>
      </c>
      <c r="L59" s="5" t="inlineStr"/>
      <c r="M59" s="6" t="n"/>
      <c r="N59" s="6" t="n"/>
      <c r="O59" s="6" t="n"/>
      <c r="P59" s="6" t="n"/>
    </row>
    <row r="60" ht="13.5" customHeight="1" s="49">
      <c r="A60" s="42" t="n"/>
      <c r="B60" s="42" t="n"/>
      <c r="C60" s="44" t="n"/>
      <c r="D60" s="43" t="inlineStr">
        <is>
          <t>AD210_EC_004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inlineStr">
        <is>
          <t>최신영</t>
        </is>
      </c>
      <c r="I60" s="15" t="inlineStr">
        <is>
          <t>정상</t>
        </is>
      </c>
      <c r="J60" s="33" t="inlineStr"/>
      <c r="K60" s="51" t="n">
        <v>46315</v>
      </c>
      <c r="L60" s="5" t="inlineStr"/>
      <c r="M60" s="6" t="n"/>
      <c r="N60" s="6" t="n"/>
      <c r="O60" s="6" t="n"/>
      <c r="P60" s="6" t="n"/>
    </row>
    <row r="61" ht="13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13">
        <f>IFERROR(VLOOKUP($D61, '테스트 케이스'!$D$6:$G$982, 2, FALSE), "")</f>
        <v/>
      </c>
      <c r="F61" s="13">
        <f>IFERROR(VLOOKUP($D61, '테스트 케이스'!$D$6:$G$982, 3, FALSE), "")</f>
        <v/>
      </c>
      <c r="G61" s="13">
        <f>IFERROR(VLOOKUP($D61, '테스트 케이스'!$D$6:$G$982, 4, FALSE), "")</f>
        <v/>
      </c>
      <c r="H61" s="5" t="inlineStr">
        <is>
          <t>최신영</t>
        </is>
      </c>
      <c r="I61" s="15" t="inlineStr">
        <is>
          <t>정상</t>
        </is>
      </c>
      <c r="J61" s="33" t="inlineStr"/>
      <c r="K61" s="51" t="n">
        <v>46315</v>
      </c>
      <c r="L61" s="5" t="inlineStr"/>
      <c r="M61" s="6" t="n"/>
      <c r="N61" s="6" t="n"/>
      <c r="O61" s="6" t="n"/>
      <c r="P61" s="6" t="n"/>
    </row>
    <row r="62" ht="13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13">
        <f>IFERROR(VLOOKUP($D62, '테스트 케이스'!$D$6:$G$982, 2, FALSE), "")</f>
        <v/>
      </c>
      <c r="F62" s="13">
        <f>IFERROR(VLOOKUP($D62, '테스트 케이스'!$D$6:$G$982, 3, FALSE), "")</f>
        <v/>
      </c>
      <c r="G62" s="13">
        <f>IFERROR(VLOOKUP($D62, '테스트 케이스'!$D$6:$G$982, 4, FALSE), "")</f>
        <v/>
      </c>
      <c r="H62" s="5" t="inlineStr">
        <is>
          <t>최신영</t>
        </is>
      </c>
      <c r="I62" s="15" t="inlineStr">
        <is>
          <t>정상</t>
        </is>
      </c>
      <c r="J62" s="33" t="inlineStr"/>
      <c r="K62" s="51" t="n">
        <v>46315</v>
      </c>
      <c r="L62" s="5" t="inlineStr"/>
      <c r="M62" s="6" t="n"/>
      <c r="N62" s="6" t="n"/>
      <c r="O62" s="6" t="n"/>
      <c r="P62" s="6" t="n"/>
    </row>
    <row r="63" ht="13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13">
        <f>IFERROR(VLOOKUP($D63, '테스트 케이스'!$D$6:$G$982, 2, FALSE), "")</f>
        <v/>
      </c>
      <c r="F63" s="13">
        <f>IFERROR(VLOOKUP($D63, '테스트 케이스'!$D$6:$G$982, 3, FALSE), "")</f>
        <v/>
      </c>
      <c r="G63" s="13">
        <f>IFERROR(VLOOKUP($D63, '테스트 케이스'!$D$6:$G$982, 4, FALSE), "")</f>
        <v/>
      </c>
      <c r="H63" s="5" t="inlineStr">
        <is>
          <t>최신영</t>
        </is>
      </c>
      <c r="I63" s="15" t="inlineStr">
        <is>
          <t>정상</t>
        </is>
      </c>
      <c r="J63" s="33" t="inlineStr"/>
      <c r="K63" s="51" t="n">
        <v>46315</v>
      </c>
      <c r="L63" s="5" t="inlineStr"/>
      <c r="M63" s="6" t="n"/>
      <c r="N63" s="6" t="n"/>
      <c r="O63" s="6" t="n"/>
      <c r="P63" s="6" t="n"/>
    </row>
    <row r="64" ht="13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13">
        <f>IFERROR(VLOOKUP($D64, '테스트 케이스'!$D$6:$G$982, 2, FALSE), "")</f>
        <v/>
      </c>
      <c r="F64" s="13">
        <f>IFERROR(VLOOKUP($D64, '테스트 케이스'!$D$6:$G$982, 3, FALSE), "")</f>
        <v/>
      </c>
      <c r="G64" s="13">
        <f>IFERROR(VLOOKUP($D64, '테스트 케이스'!$D$6:$G$982, 4, FALSE), "")</f>
        <v/>
      </c>
      <c r="H64" s="5" t="inlineStr">
        <is>
          <t>최신영</t>
        </is>
      </c>
      <c r="I64" s="15" t="inlineStr">
        <is>
          <t>정상</t>
        </is>
      </c>
      <c r="J64" s="33" t="inlineStr"/>
      <c r="K64" s="51" t="n">
        <v>46315</v>
      </c>
      <c r="L64" s="5" t="inlineStr"/>
      <c r="M64" s="6" t="n"/>
      <c r="N64" s="6" t="n"/>
      <c r="O64" s="6" t="n"/>
      <c r="P64" s="6" t="n"/>
    </row>
    <row r="65" ht="13.5" customHeight="1" s="49">
      <c r="A65" s="42" t="n"/>
      <c r="B65" s="42" t="n"/>
      <c r="C65" s="44" t="n"/>
      <c r="D65" s="43" t="inlineStr">
        <is>
          <t>AD210_EC_009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inlineStr">
        <is>
          <t>최신영</t>
        </is>
      </c>
      <c r="I65" s="15" t="inlineStr">
        <is>
          <t>정상</t>
        </is>
      </c>
      <c r="J65" s="33" t="inlineStr"/>
      <c r="K65" s="51" t="n">
        <v>46315</v>
      </c>
      <c r="L65" s="5" t="inlineStr"/>
      <c r="M65" s="6" t="n"/>
      <c r="N65" s="6" t="n"/>
      <c r="O65" s="6" t="n"/>
      <c r="P65" s="6" t="n"/>
    </row>
    <row r="66" ht="13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inlineStr">
        <is>
          <t>최신영</t>
        </is>
      </c>
      <c r="I66" s="15" t="inlineStr">
        <is>
          <t>정상</t>
        </is>
      </c>
      <c r="J66" s="33" t="inlineStr"/>
      <c r="K66" s="51" t="n">
        <v>46315</v>
      </c>
      <c r="L66" s="5" t="inlineStr"/>
      <c r="M66" s="6" t="n"/>
      <c r="N66" s="6" t="n"/>
      <c r="O66" s="6" t="n"/>
      <c r="P66" s="6" t="n"/>
    </row>
    <row r="67" ht="13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inlineStr">
        <is>
          <t>최신영</t>
        </is>
      </c>
      <c r="I67" s="15" t="inlineStr">
        <is>
          <t>정상</t>
        </is>
      </c>
      <c r="J67" s="33" t="inlineStr">
        <is>
          <t>[개선] 특수문자 비고는 그대로 저장·표시. 점검명 409자 → 안내 없이 저장되지 않음 (정기점검주기와 같이 길이 초과 안내가 설정되지 않음).</t>
        </is>
      </c>
      <c r="K67" s="51" t="n">
        <v>46315</v>
      </c>
      <c r="L67" s="5" t="inlineStr"/>
      <c r="M67" s="6" t="n"/>
      <c r="N67" s="6" t="n"/>
      <c r="O67" s="6" t="n"/>
      <c r="P67" s="6" t="n"/>
    </row>
    <row r="68" ht="13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inlineStr">
        <is>
          <t>최신영</t>
        </is>
      </c>
      <c r="I68" s="15" t="inlineStr">
        <is>
          <t>정상</t>
        </is>
      </c>
      <c r="J68" s="33" t="inlineStr"/>
      <c r="K68" s="51" t="n">
        <v>46315</v>
      </c>
      <c r="L68" s="5" t="inlineStr"/>
      <c r="M68" s="6" t="n"/>
      <c r="N68" s="6" t="n"/>
      <c r="O68" s="6" t="n"/>
      <c r="P68" s="6" t="n"/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2026-10-21T01:04:18Z</dcterms:modified>
  <cp:lastModifiedBy>최 신영</cp:lastModifiedBy>
</cp:coreProperties>
</file>