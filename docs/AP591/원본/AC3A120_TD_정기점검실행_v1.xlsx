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maintec\Dream_Doc\1.ProgramSpec\X.Version\3.0\A.Gweb\15.AP000(보고서관리)\AP500_예방점검\AP591_정기점검실행(목록)\"/>
    </mc:Choice>
  </mc:AlternateContent>
  <xr:revisionPtr revIDLastSave="0" documentId="13_ncr:1_{DDC7AE6C-EE96-42F8-B0F3-9B6605C217BA}" xr6:coauthVersionLast="47" xr6:coauthVersionMax="47" xr10:uidLastSave="{00000000-0000-0000-0000-000000000000}"/>
  <bookViews>
    <workbookView xWindow="30300" yWindow="555" windowWidth="25485" windowHeight="13755" tabRatio="760" firstSheet="4" activeTab="4" xr2:uid="{00000000-000D-0000-FFFF-FFFF00000000}"/>
  </bookViews>
  <sheets>
    <sheet name="0. 변경이력" sheetId="11" r:id="rId1"/>
    <sheet name="1. 화면(Page)" sheetId="2" r:id="rId2"/>
    <sheet name="2. 화면별TAB화면" sheetId="3" r:id="rId3"/>
    <sheet name="3. 화면(Page)별 Button" sheetId="4" r:id="rId4"/>
    <sheet name="4. 화면(Page)별 Field" sheetId="5" r:id="rId5"/>
    <sheet name="5. 화면(Page)별 Grid" sheetId="6" r:id="rId6"/>
    <sheet name="6. 화면(Pag별 Linked" sheetId="7" r:id="rId7"/>
    <sheet name="7.화면 단위테스트" sheetId="10" r:id="rId8"/>
    <sheet name="8.화면버튼 단위테스트" sheetId="9" r:id="rId9"/>
    <sheet name="Sheet8" sheetId="8" r:id="rId10"/>
  </sheets>
  <definedNames>
    <definedName name="___xlfn_COUNTIFS">#N/A</definedName>
    <definedName name="__xlfn_COUNTIFS">#N/A</definedName>
    <definedName name="_xlnm._FilterDatabase" localSheetId="0" hidden="1">'0. 변경이력'!$A$1:$D$1</definedName>
    <definedName name="_xlnm._FilterDatabase" localSheetId="1" hidden="1">'1. 화면(Page)'!$A$1:$AF$1</definedName>
    <definedName name="_xlnm._FilterDatabase" localSheetId="2" hidden="1">'2. 화면별TAB화면'!$A$1:$AK$1</definedName>
    <definedName name="_xlnm._FilterDatabase" localSheetId="3" hidden="1">'3. 화면(Page)별 Button'!$A$1:$AW$1</definedName>
    <definedName name="_xlnm._FilterDatabase" localSheetId="4" hidden="1">'4. 화면(Page)별 Field'!$A$1:$AJ$1</definedName>
    <definedName name="_xlnm._FilterDatabase" localSheetId="5" hidden="1">'5. 화면(Page)별 Grid'!$A$1:$AY$1</definedName>
    <definedName name="_xlnm._FilterDatabase" localSheetId="6" hidden="1">'6. 화면(Pag별 Linked'!$A$1:$Y$1</definedName>
    <definedName name="_xlnm._FilterDatabase" localSheetId="7" hidden="1">'7.화면 단위테스트'!$A$1:$M$1</definedName>
    <definedName name="_xlnm._FilterDatabase" localSheetId="8" hidden="1">'8.화면버튼 단위테스트'!$A$1:$P$1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11" i="6" l="1"/>
  <c r="AH11" i="6" s="1"/>
  <c r="X11" i="6"/>
  <c r="AC11" i="6" s="1"/>
  <c r="AG20" i="6"/>
  <c r="AH20" i="6" s="1"/>
  <c r="X20" i="6"/>
  <c r="AC20" i="6" s="1"/>
  <c r="AG19" i="6"/>
  <c r="AH19" i="6" s="1"/>
  <c r="X19" i="6"/>
  <c r="AR19" i="6" s="1"/>
  <c r="AG18" i="6"/>
  <c r="AH18" i="6" s="1"/>
  <c r="X18" i="6"/>
  <c r="AC18" i="6" s="1"/>
  <c r="AG17" i="6"/>
  <c r="AH17" i="6" s="1"/>
  <c r="X17" i="6"/>
  <c r="AR17" i="6" s="1"/>
  <c r="AG27" i="6"/>
  <c r="AH27" i="6" s="1"/>
  <c r="X27" i="6"/>
  <c r="AC27" i="6" s="1"/>
  <c r="AG26" i="6"/>
  <c r="AH26" i="6" s="1"/>
  <c r="X26" i="6"/>
  <c r="AR26" i="6" s="1"/>
  <c r="AG25" i="6"/>
  <c r="AH25" i="6" s="1"/>
  <c r="X25" i="6"/>
  <c r="AD25" i="6" s="1"/>
  <c r="AG24" i="6"/>
  <c r="AH24" i="6" s="1"/>
  <c r="X24" i="6"/>
  <c r="AG23" i="6"/>
  <c r="AH23" i="6" s="1"/>
  <c r="X23" i="6"/>
  <c r="AG22" i="6"/>
  <c r="AH22" i="6" s="1"/>
  <c r="AD22" i="6"/>
  <c r="X22" i="6"/>
  <c r="AU22" i="6" s="1"/>
  <c r="AG21" i="6"/>
  <c r="AH21" i="6" s="1"/>
  <c r="X21" i="6"/>
  <c r="AC21" i="6" s="1"/>
  <c r="AG16" i="6"/>
  <c r="AH16" i="6" s="1"/>
  <c r="X16" i="6"/>
  <c r="AG15" i="6"/>
  <c r="AH15" i="6" s="1"/>
  <c r="X15" i="6"/>
  <c r="AU15" i="6" s="1"/>
  <c r="AG14" i="6"/>
  <c r="AH14" i="6" s="1"/>
  <c r="X14" i="6"/>
  <c r="AU14" i="6" s="1"/>
  <c r="AG13" i="6"/>
  <c r="AH13" i="6" s="1"/>
  <c r="X13" i="6"/>
  <c r="Z13" i="6" s="1"/>
  <c r="AG12" i="6"/>
  <c r="AH12" i="6" s="1"/>
  <c r="X12" i="6"/>
  <c r="AU12" i="6" s="1"/>
  <c r="AG10" i="6"/>
  <c r="AH10" i="6" s="1"/>
  <c r="X10" i="6"/>
  <c r="AW10" i="6" s="1"/>
  <c r="AG9" i="6"/>
  <c r="AH9" i="6" s="1"/>
  <c r="X9" i="6"/>
  <c r="AU9" i="6" s="1"/>
  <c r="AG8" i="6"/>
  <c r="AH8" i="6" s="1"/>
  <c r="X8" i="6"/>
  <c r="AU8" i="6" s="1"/>
  <c r="AG7" i="6"/>
  <c r="AH7" i="6" s="1"/>
  <c r="X7" i="6"/>
  <c r="AU7" i="6" s="1"/>
  <c r="AG6" i="6"/>
  <c r="AH6" i="6" s="1"/>
  <c r="X6" i="6"/>
  <c r="AW6" i="6" s="1"/>
  <c r="AG5" i="6"/>
  <c r="AH5" i="6" s="1"/>
  <c r="X5" i="6"/>
  <c r="AG4" i="6"/>
  <c r="AH4" i="6" s="1"/>
  <c r="X4" i="6"/>
  <c r="AR4" i="6" s="1"/>
  <c r="AG3" i="6"/>
  <c r="AH3" i="6" s="1"/>
  <c r="X3" i="6"/>
  <c r="AU3" i="6" s="1"/>
  <c r="AG2" i="6"/>
  <c r="AH2" i="6" s="1"/>
  <c r="X2" i="6"/>
  <c r="AR2" i="6" s="1"/>
  <c r="AD11" i="6" l="1"/>
  <c r="AP11" i="6"/>
  <c r="AF11" i="6"/>
  <c r="AR11" i="6"/>
  <c r="AU11" i="6"/>
  <c r="Z11" i="6"/>
  <c r="AA11" i="6"/>
  <c r="AW11" i="6"/>
  <c r="AA19" i="6"/>
  <c r="AA17" i="6"/>
  <c r="AD19" i="6"/>
  <c r="AW17" i="6"/>
  <c r="AW19" i="6"/>
  <c r="AR18" i="6"/>
  <c r="AR20" i="6"/>
  <c r="AJ19" i="6"/>
  <c r="AU19" i="6"/>
  <c r="AD20" i="6"/>
  <c r="AP20" i="6"/>
  <c r="Z19" i="6"/>
  <c r="AF20" i="6"/>
  <c r="AJ20" i="6" s="1"/>
  <c r="AC19" i="6"/>
  <c r="AP19" i="6"/>
  <c r="AU20" i="6"/>
  <c r="AF19" i="6"/>
  <c r="AQ19" i="6" s="1"/>
  <c r="Z20" i="6"/>
  <c r="AA20" i="6"/>
  <c r="AW20" i="6"/>
  <c r="AU17" i="6"/>
  <c r="AD18" i="6"/>
  <c r="AP18" i="6"/>
  <c r="Z17" i="6"/>
  <c r="AF18" i="6"/>
  <c r="AJ18" i="6" s="1"/>
  <c r="AC17" i="6"/>
  <c r="AD17" i="6"/>
  <c r="AP17" i="6"/>
  <c r="AU18" i="6"/>
  <c r="AF17" i="6"/>
  <c r="Z18" i="6"/>
  <c r="AA18" i="6"/>
  <c r="AW18" i="6"/>
  <c r="AC22" i="6"/>
  <c r="Z4" i="6"/>
  <c r="AF7" i="6"/>
  <c r="AK7" i="6" s="1"/>
  <c r="AD4" i="6"/>
  <c r="AF3" i="6"/>
  <c r="AK3" i="6" s="1"/>
  <c r="AR7" i="6"/>
  <c r="AF22" i="6"/>
  <c r="AK22" i="6" s="1"/>
  <c r="AR3" i="6"/>
  <c r="AP25" i="6"/>
  <c r="AC4" i="6"/>
  <c r="AC7" i="6"/>
  <c r="AD9" i="6"/>
  <c r="AU2" i="6"/>
  <c r="AD7" i="6"/>
  <c r="AF9" i="6"/>
  <c r="AK9" i="6" s="1"/>
  <c r="AC8" i="6"/>
  <c r="AF4" i="6"/>
  <c r="AK4" i="6" s="1"/>
  <c r="AD8" i="6"/>
  <c r="AD10" i="6"/>
  <c r="AD13" i="6"/>
  <c r="AU25" i="6"/>
  <c r="AU4" i="6"/>
  <c r="AW8" i="6"/>
  <c r="AU10" i="6"/>
  <c r="AP26" i="6"/>
  <c r="AC13" i="6"/>
  <c r="AA6" i="6"/>
  <c r="AC6" i="6"/>
  <c r="AD6" i="6"/>
  <c r="AR9" i="6"/>
  <c r="AF12" i="6"/>
  <c r="AK12" i="6" s="1"/>
  <c r="AD15" i="6"/>
  <c r="Z27" i="6"/>
  <c r="AP4" i="6"/>
  <c r="AP8" i="6"/>
  <c r="AP13" i="6"/>
  <c r="Z25" i="6"/>
  <c r="AC26" i="6"/>
  <c r="AC15" i="6"/>
  <c r="AU13" i="6"/>
  <c r="AC25" i="6"/>
  <c r="AD26" i="6"/>
  <c r="AP6" i="6"/>
  <c r="AF26" i="6"/>
  <c r="AK26" i="6" s="1"/>
  <c r="AM9" i="6"/>
  <c r="AQ9" i="6"/>
  <c r="AW2" i="6"/>
  <c r="AR24" i="6"/>
  <c r="AW24" i="6"/>
  <c r="AA24" i="6"/>
  <c r="Z24" i="6"/>
  <c r="AP24" i="6"/>
  <c r="AW5" i="6"/>
  <c r="AA5" i="6"/>
  <c r="Z5" i="6"/>
  <c r="AC14" i="6"/>
  <c r="Z21" i="6"/>
  <c r="AP21" i="6"/>
  <c r="AA2" i="6"/>
  <c r="AS4" i="6"/>
  <c r="AF5" i="6"/>
  <c r="AM5" i="6" s="1"/>
  <c r="AU6" i="6"/>
  <c r="AW13" i="6"/>
  <c r="AA13" i="6"/>
  <c r="AR13" i="6"/>
  <c r="AF13" i="6"/>
  <c r="AS13" i="6" s="1"/>
  <c r="AD14" i="6"/>
  <c r="AC24" i="6"/>
  <c r="AP5" i="6"/>
  <c r="AP14" i="6"/>
  <c r="AW21" i="6"/>
  <c r="AA21" i="6"/>
  <c r="AR21" i="6"/>
  <c r="AF21" i="6"/>
  <c r="AS21" i="6" s="1"/>
  <c r="AC2" i="6"/>
  <c r="AU5" i="6"/>
  <c r="AX7" i="6"/>
  <c r="AR10" i="6"/>
  <c r="AF10" i="6"/>
  <c r="AQ10" i="6" s="1"/>
  <c r="AF14" i="6"/>
  <c r="AM14" i="6" s="1"/>
  <c r="AR16" i="6"/>
  <c r="AW16" i="6"/>
  <c r="AA16" i="6"/>
  <c r="Z16" i="6"/>
  <c r="AP16" i="6"/>
  <c r="AD21" i="6"/>
  <c r="AU21" i="6"/>
  <c r="AM22" i="6"/>
  <c r="AW23" i="6"/>
  <c r="AA23" i="6"/>
  <c r="AR23" i="6"/>
  <c r="AF23" i="6"/>
  <c r="AQ23" i="6" s="1"/>
  <c r="AD24" i="6"/>
  <c r="AR14" i="6"/>
  <c r="AW14" i="6"/>
  <c r="AA14" i="6"/>
  <c r="Z14" i="6"/>
  <c r="Z2" i="6"/>
  <c r="AD5" i="6"/>
  <c r="AR5" i="6"/>
  <c r="AW3" i="6"/>
  <c r="AA3" i="6"/>
  <c r="AD2" i="6"/>
  <c r="AP2" i="6"/>
  <c r="Z3" i="6"/>
  <c r="AJ4" i="6"/>
  <c r="AV4" i="6"/>
  <c r="AJ7" i="6"/>
  <c r="AR8" i="6"/>
  <c r="AF8" i="6"/>
  <c r="AN9" i="6"/>
  <c r="Z10" i="6"/>
  <c r="AW12" i="6"/>
  <c r="AA12" i="6"/>
  <c r="Z12" i="6"/>
  <c r="AP12" i="6"/>
  <c r="AC16" i="6"/>
  <c r="AJ22" i="6"/>
  <c r="Z23" i="6"/>
  <c r="AP23" i="6"/>
  <c r="AF24" i="6"/>
  <c r="AM24" i="6" s="1"/>
  <c r="AU24" i="6"/>
  <c r="AQ4" i="6"/>
  <c r="AF2" i="6"/>
  <c r="AJ2" i="6" s="1"/>
  <c r="AC3" i="6"/>
  <c r="AP3" i="6"/>
  <c r="AW4" i="6"/>
  <c r="AR6" i="6"/>
  <c r="AF6" i="6"/>
  <c r="AX6" i="6" s="1"/>
  <c r="AN7" i="6"/>
  <c r="Z8" i="6"/>
  <c r="AW9" i="6"/>
  <c r="AA9" i="6"/>
  <c r="Z9" i="6"/>
  <c r="AP9" i="6"/>
  <c r="AA10" i="6"/>
  <c r="AC12" i="6"/>
  <c r="AW15" i="6"/>
  <c r="AA15" i="6"/>
  <c r="AR15" i="6"/>
  <c r="AF15" i="6"/>
  <c r="AM15" i="6" s="1"/>
  <c r="AD16" i="6"/>
  <c r="AN22" i="6"/>
  <c r="AC23" i="6"/>
  <c r="AC5" i="6"/>
  <c r="AD3" i="6"/>
  <c r="AA4" i="6"/>
  <c r="AM4" i="6"/>
  <c r="Z6" i="6"/>
  <c r="AW7" i="6"/>
  <c r="AA7" i="6"/>
  <c r="Z7" i="6"/>
  <c r="AP7" i="6"/>
  <c r="AA8" i="6"/>
  <c r="AC9" i="6"/>
  <c r="AC10" i="6"/>
  <c r="AP10" i="6"/>
  <c r="AD12" i="6"/>
  <c r="AR12" i="6"/>
  <c r="Z15" i="6"/>
  <c r="AP15" i="6"/>
  <c r="AF16" i="6"/>
  <c r="AS16" i="6" s="1"/>
  <c r="AU16" i="6"/>
  <c r="AR22" i="6"/>
  <c r="AW22" i="6"/>
  <c r="AA22" i="6"/>
  <c r="Z22" i="6"/>
  <c r="AP22" i="6"/>
  <c r="AD23" i="6"/>
  <c r="AU23" i="6"/>
  <c r="AW25" i="6"/>
  <c r="AA25" i="6"/>
  <c r="AR25" i="6"/>
  <c r="AF25" i="6"/>
  <c r="AJ25" i="6" s="1"/>
  <c r="AQ22" i="6"/>
  <c r="AW27" i="6"/>
  <c r="AA27" i="6"/>
  <c r="AU27" i="6"/>
  <c r="AR27" i="6"/>
  <c r="AF27" i="6"/>
  <c r="AV27" i="6" s="1"/>
  <c r="AP27" i="6"/>
  <c r="AD27" i="6"/>
  <c r="AU26" i="6"/>
  <c r="Z26" i="6"/>
  <c r="AA26" i="6"/>
  <c r="AW26" i="6"/>
  <c r="AV9" i="6" l="1"/>
  <c r="AV22" i="6"/>
  <c r="AN11" i="6"/>
  <c r="AK11" i="6"/>
  <c r="AQ11" i="6"/>
  <c r="AS11" i="6"/>
  <c r="AJ11" i="6"/>
  <c r="AV11" i="6"/>
  <c r="AM11" i="6"/>
  <c r="AX11" i="6"/>
  <c r="AM21" i="6"/>
  <c r="AM18" i="6"/>
  <c r="AJ21" i="6"/>
  <c r="AS7" i="6"/>
  <c r="AM7" i="6"/>
  <c r="AV7" i="6"/>
  <c r="AJ9" i="6"/>
  <c r="AX21" i="6"/>
  <c r="AS9" i="6"/>
  <c r="AQ21" i="6"/>
  <c r="AX9" i="6"/>
  <c r="AS22" i="6"/>
  <c r="AQ7" i="6"/>
  <c r="AM20" i="6"/>
  <c r="AX20" i="6"/>
  <c r="AQ20" i="6"/>
  <c r="AX19" i="6"/>
  <c r="AS20" i="6"/>
  <c r="AM19" i="6"/>
  <c r="AV19" i="6"/>
  <c r="AN19" i="6"/>
  <c r="AK19" i="6"/>
  <c r="AN20" i="6"/>
  <c r="AK20" i="6"/>
  <c r="AV20" i="6"/>
  <c r="AS19" i="6"/>
  <c r="AX18" i="6"/>
  <c r="AN17" i="6"/>
  <c r="AK17" i="6"/>
  <c r="AM17" i="6"/>
  <c r="AJ17" i="6"/>
  <c r="AQ18" i="6"/>
  <c r="AV17" i="6"/>
  <c r="AS18" i="6"/>
  <c r="AX17" i="6"/>
  <c r="AQ17" i="6"/>
  <c r="AN18" i="6"/>
  <c r="AK18" i="6"/>
  <c r="AV18" i="6"/>
  <c r="AS17" i="6"/>
  <c r="AM3" i="6"/>
  <c r="AJ3" i="6"/>
  <c r="AM10" i="6"/>
  <c r="AN3" i="6"/>
  <c r="AV3" i="6"/>
  <c r="AX22" i="6"/>
  <c r="AQ6" i="6"/>
  <c r="AS3" i="6"/>
  <c r="AX3" i="6"/>
  <c r="AM6" i="6"/>
  <c r="AQ3" i="6"/>
  <c r="AJ12" i="6"/>
  <c r="AN12" i="6"/>
  <c r="AQ12" i="6"/>
  <c r="AN4" i="6"/>
  <c r="AS12" i="6"/>
  <c r="AX12" i="6"/>
  <c r="AV12" i="6"/>
  <c r="AX4" i="6"/>
  <c r="AM12" i="6"/>
  <c r="AS27" i="6"/>
  <c r="AV23" i="6"/>
  <c r="AS23" i="6"/>
  <c r="AX23" i="6"/>
  <c r="AV21" i="6"/>
  <c r="AJ6" i="6"/>
  <c r="AM27" i="6"/>
  <c r="AM2" i="6"/>
  <c r="AQ2" i="6"/>
  <c r="AX27" i="6"/>
  <c r="AN26" i="6"/>
  <c r="AJ26" i="6"/>
  <c r="AJ23" i="6"/>
  <c r="AX5" i="6"/>
  <c r="AV14" i="6"/>
  <c r="AV26" i="6"/>
  <c r="AJ5" i="6"/>
  <c r="AX13" i="6"/>
  <c r="AQ13" i="6"/>
  <c r="AM26" i="6"/>
  <c r="AM13" i="6"/>
  <c r="AX15" i="6"/>
  <c r="AJ10" i="6"/>
  <c r="AV25" i="6"/>
  <c r="AX26" i="6"/>
  <c r="AQ26" i="6"/>
  <c r="AQ15" i="6"/>
  <c r="AX10" i="6"/>
  <c r="AS26" i="6"/>
  <c r="AV6" i="6"/>
  <c r="AS2" i="6"/>
  <c r="AQ5" i="6"/>
  <c r="AM16" i="6"/>
  <c r="AN8" i="6"/>
  <c r="AS8" i="6"/>
  <c r="AM8" i="6"/>
  <c r="AX8" i="6"/>
  <c r="AK8" i="6"/>
  <c r="AJ8" i="6"/>
  <c r="AV16" i="6"/>
  <c r="AX2" i="6"/>
  <c r="AJ16" i="6"/>
  <c r="AS5" i="6"/>
  <c r="AK24" i="6"/>
  <c r="AJ24" i="6"/>
  <c r="AN24" i="6"/>
  <c r="AX24" i="6"/>
  <c r="AS24" i="6"/>
  <c r="AK14" i="6"/>
  <c r="AN14" i="6"/>
  <c r="AQ14" i="6"/>
  <c r="AV2" i="6"/>
  <c r="AV8" i="6"/>
  <c r="AV5" i="6"/>
  <c r="AN25" i="6"/>
  <c r="AK25" i="6"/>
  <c r="AS25" i="6"/>
  <c r="AQ25" i="6"/>
  <c r="AJ14" i="6"/>
  <c r="AM25" i="6"/>
  <c r="AS14" i="6"/>
  <c r="AQ8" i="6"/>
  <c r="AX25" i="6"/>
  <c r="AS10" i="6"/>
  <c r="AN10" i="6"/>
  <c r="AK10" i="6"/>
  <c r="AQ24" i="6"/>
  <c r="AK16" i="6"/>
  <c r="AN16" i="6"/>
  <c r="AK2" i="6"/>
  <c r="AN2" i="6"/>
  <c r="AX16" i="6"/>
  <c r="AN6" i="6"/>
  <c r="AK6" i="6"/>
  <c r="AS6" i="6"/>
  <c r="AN27" i="6"/>
  <c r="AK27" i="6"/>
  <c r="AV24" i="6"/>
  <c r="AS15" i="6"/>
  <c r="AN15" i="6"/>
  <c r="AK15" i="6"/>
  <c r="AJ15" i="6"/>
  <c r="AV15" i="6"/>
  <c r="AJ27" i="6"/>
  <c r="AQ16" i="6"/>
  <c r="AQ27" i="6"/>
  <c r="AN23" i="6"/>
  <c r="AK23" i="6"/>
  <c r="AK21" i="6"/>
  <c r="AN21" i="6"/>
  <c r="AJ13" i="6"/>
  <c r="AN13" i="6"/>
  <c r="AK13" i="6"/>
  <c r="AK5" i="6"/>
  <c r="AN5" i="6"/>
  <c r="AV10" i="6"/>
  <c r="AM23" i="6"/>
  <c r="AV13" i="6"/>
  <c r="AX14" i="6"/>
  <c r="X21" i="5" l="1"/>
  <c r="AI21" i="5" s="1"/>
  <c r="W21" i="5"/>
  <c r="AD21" i="5" s="1"/>
  <c r="R5" i="3"/>
  <c r="Q5" i="3"/>
  <c r="L5" i="3"/>
  <c r="AR5" i="3" s="1"/>
  <c r="R4" i="3"/>
  <c r="Q4" i="3"/>
  <c r="AQ4" i="3" s="1"/>
  <c r="L4" i="3"/>
  <c r="AR4" i="3" s="1"/>
  <c r="AO4" i="2"/>
  <c r="AN4" i="2"/>
  <c r="AM4" i="2"/>
  <c r="AL4" i="2"/>
  <c r="AJ4" i="2"/>
  <c r="AI4" i="2"/>
  <c r="AG4" i="2"/>
  <c r="AF4" i="2"/>
  <c r="AE4" i="2"/>
  <c r="AD4" i="2"/>
  <c r="AC4" i="2"/>
  <c r="AB4" i="2"/>
  <c r="AA4" i="2"/>
  <c r="Z4" i="2"/>
  <c r="X4" i="2"/>
  <c r="W4" i="2"/>
  <c r="V4" i="2"/>
  <c r="U4" i="2"/>
  <c r="T4" i="2"/>
  <c r="S4" i="2"/>
  <c r="R4" i="2"/>
  <c r="Q4" i="2"/>
  <c r="X20" i="5"/>
  <c r="AJ20" i="5" s="1"/>
  <c r="W20" i="5"/>
  <c r="AD20" i="5" s="1"/>
  <c r="X7" i="5"/>
  <c r="W7" i="5"/>
  <c r="AA7" i="5" s="1"/>
  <c r="AJ21" i="5" l="1"/>
  <c r="Z21" i="5"/>
  <c r="AA21" i="5"/>
  <c r="AF21" i="5"/>
  <c r="AC21" i="5"/>
  <c r="AG21" i="5"/>
  <c r="U5" i="3"/>
  <c r="Z5" i="3"/>
  <c r="AA5" i="3"/>
  <c r="AI5" i="3"/>
  <c r="AJ5" i="3"/>
  <c r="AC5" i="3"/>
  <c r="AL5" i="3"/>
  <c r="T5" i="3"/>
  <c r="AD5" i="3"/>
  <c r="AM5" i="3"/>
  <c r="V5" i="3"/>
  <c r="AE5" i="3"/>
  <c r="AO5" i="3"/>
  <c r="W5" i="3"/>
  <c r="AF5" i="3"/>
  <c r="AP5" i="3"/>
  <c r="X5" i="3"/>
  <c r="AG5" i="3"/>
  <c r="AQ5" i="3"/>
  <c r="Y5" i="3"/>
  <c r="AH5" i="3"/>
  <c r="Z4" i="3"/>
  <c r="AI4" i="3"/>
  <c r="AA4" i="3"/>
  <c r="AJ4" i="3"/>
  <c r="AL4" i="3"/>
  <c r="T4" i="3"/>
  <c r="U4" i="3"/>
  <c r="AD4" i="3"/>
  <c r="AM4" i="3"/>
  <c r="AC4" i="3"/>
  <c r="V4" i="3"/>
  <c r="AE4" i="3"/>
  <c r="AO4" i="3"/>
  <c r="AP4" i="3"/>
  <c r="W4" i="3"/>
  <c r="AF4" i="3"/>
  <c r="X4" i="3"/>
  <c r="AG4" i="3"/>
  <c r="Y4" i="3"/>
  <c r="AH4" i="3"/>
  <c r="Z20" i="5"/>
  <c r="AA20" i="5"/>
  <c r="AC20" i="5"/>
  <c r="AF20" i="5"/>
  <c r="AG20" i="5"/>
  <c r="AI20" i="5"/>
  <c r="Z7" i="5"/>
  <c r="AI7" i="5"/>
  <c r="AG7" i="5"/>
  <c r="AD7" i="5"/>
  <c r="AJ7" i="5"/>
  <c r="AC7" i="5"/>
  <c r="AF7" i="5"/>
  <c r="BD2" i="7" l="1"/>
  <c r="BB2" i="7"/>
  <c r="AY2" i="7"/>
  <c r="AV2" i="7"/>
  <c r="AT2" i="7"/>
  <c r="AR2" i="7"/>
  <c r="AQ2" i="7"/>
  <c r="AP2" i="7"/>
  <c r="AO2" i="7"/>
  <c r="AN2" i="7"/>
  <c r="AM2" i="7"/>
  <c r="AI2" i="7"/>
  <c r="AH2" i="7"/>
  <c r="AG2" i="7"/>
  <c r="AF2" i="7"/>
  <c r="AE2" i="7"/>
  <c r="AD2" i="7"/>
  <c r="Z2" i="7"/>
  <c r="Y2" i="7"/>
  <c r="X2" i="7"/>
  <c r="AC2" i="7" s="1"/>
  <c r="V2" i="7"/>
  <c r="U2" i="7"/>
  <c r="S2" i="7"/>
  <c r="R2" i="7"/>
  <c r="BD7" i="4"/>
  <c r="BA7" i="4"/>
  <c r="AX7" i="4"/>
  <c r="AV7" i="4"/>
  <c r="AT7" i="4"/>
  <c r="AS7" i="4"/>
  <c r="AR7" i="4"/>
  <c r="AQ7" i="4"/>
  <c r="AP7" i="4"/>
  <c r="AO7" i="4"/>
  <c r="AK7" i="4"/>
  <c r="AJ7" i="4"/>
  <c r="AI7" i="4"/>
  <c r="AH7" i="4"/>
  <c r="AG7" i="4"/>
  <c r="AF7" i="4"/>
  <c r="AB7" i="4"/>
  <c r="BE7" i="4" s="1"/>
  <c r="AA7" i="4"/>
  <c r="Z7" i="4"/>
  <c r="X7" i="4"/>
  <c r="W7" i="4"/>
  <c r="U7" i="4"/>
  <c r="T7" i="4"/>
  <c r="BD6" i="4"/>
  <c r="BA6" i="4"/>
  <c r="AX6" i="4"/>
  <c r="AV6" i="4"/>
  <c r="AT6" i="4"/>
  <c r="AS6" i="4"/>
  <c r="AR6" i="4"/>
  <c r="AQ6" i="4"/>
  <c r="AP6" i="4"/>
  <c r="AO6" i="4"/>
  <c r="AK6" i="4"/>
  <c r="AJ6" i="4"/>
  <c r="AI6" i="4"/>
  <c r="AH6" i="4"/>
  <c r="AG6" i="4"/>
  <c r="AF6" i="4"/>
  <c r="AB6" i="4"/>
  <c r="AA6" i="4"/>
  <c r="Z6" i="4"/>
  <c r="X6" i="4"/>
  <c r="W6" i="4"/>
  <c r="U6" i="4"/>
  <c r="T6" i="4"/>
  <c r="BD5" i="4"/>
  <c r="BA5" i="4"/>
  <c r="AX5" i="4"/>
  <c r="AV5" i="4"/>
  <c r="AT5" i="4"/>
  <c r="AS5" i="4"/>
  <c r="AR5" i="4"/>
  <c r="AQ5" i="4"/>
  <c r="AP5" i="4"/>
  <c r="AO5" i="4"/>
  <c r="AK5" i="4"/>
  <c r="AJ5" i="4"/>
  <c r="AI5" i="4"/>
  <c r="AH5" i="4"/>
  <c r="AG5" i="4"/>
  <c r="AF5" i="4"/>
  <c r="AB5" i="4"/>
  <c r="AW5" i="4" s="1"/>
  <c r="AA5" i="4"/>
  <c r="Z5" i="4"/>
  <c r="X5" i="4"/>
  <c r="W5" i="4"/>
  <c r="U5" i="4"/>
  <c r="T5" i="4"/>
  <c r="BD4" i="4"/>
  <c r="BA4" i="4"/>
  <c r="AX4" i="4"/>
  <c r="AV4" i="4"/>
  <c r="AT4" i="4"/>
  <c r="AS4" i="4"/>
  <c r="AR4" i="4"/>
  <c r="AQ4" i="4"/>
  <c r="AP4" i="4"/>
  <c r="AO4" i="4"/>
  <c r="AK4" i="4"/>
  <c r="AJ4" i="4"/>
  <c r="AI4" i="4"/>
  <c r="AH4" i="4"/>
  <c r="AG4" i="4"/>
  <c r="AF4" i="4"/>
  <c r="AB4" i="4"/>
  <c r="AY4" i="4" s="1"/>
  <c r="AA4" i="4"/>
  <c r="BF4" i="4" s="1"/>
  <c r="Z4" i="4"/>
  <c r="X4" i="4"/>
  <c r="W4" i="4"/>
  <c r="U4" i="4"/>
  <c r="T4" i="4"/>
  <c r="BD3" i="4"/>
  <c r="BA3" i="4"/>
  <c r="AX3" i="4"/>
  <c r="AV3" i="4"/>
  <c r="AT3" i="4"/>
  <c r="AS3" i="4"/>
  <c r="AR3" i="4"/>
  <c r="AQ3" i="4"/>
  <c r="AP3" i="4"/>
  <c r="AO3" i="4"/>
  <c r="AK3" i="4"/>
  <c r="AJ3" i="4"/>
  <c r="AI3" i="4"/>
  <c r="AH3" i="4"/>
  <c r="AG3" i="4"/>
  <c r="AF3" i="4"/>
  <c r="AB3" i="4"/>
  <c r="AA3" i="4"/>
  <c r="Z3" i="4"/>
  <c r="X3" i="4"/>
  <c r="W3" i="4"/>
  <c r="U3" i="4"/>
  <c r="T3" i="4"/>
  <c r="BF2" i="4"/>
  <c r="BD2" i="4"/>
  <c r="BA2" i="4"/>
  <c r="AX2" i="4"/>
  <c r="AV2" i="4"/>
  <c r="AT2" i="4"/>
  <c r="AS2" i="4"/>
  <c r="AR2" i="4"/>
  <c r="AQ2" i="4"/>
  <c r="AP2" i="4"/>
  <c r="AO2" i="4"/>
  <c r="AK2" i="4"/>
  <c r="AJ2" i="4"/>
  <c r="AI2" i="4"/>
  <c r="AH2" i="4"/>
  <c r="AG2" i="4"/>
  <c r="AF2" i="4"/>
  <c r="AE2" i="4"/>
  <c r="AB2" i="4"/>
  <c r="AA2" i="4"/>
  <c r="BC2" i="4" s="1"/>
  <c r="Z2" i="4"/>
  <c r="AN2" i="4" s="1"/>
  <c r="X2" i="4"/>
  <c r="W2" i="4"/>
  <c r="U2" i="4"/>
  <c r="T2" i="4"/>
  <c r="L2" i="3"/>
  <c r="AI2" i="3" s="1"/>
  <c r="R2" i="3"/>
  <c r="Q2" i="3"/>
  <c r="AO2" i="2"/>
  <c r="AN2" i="2"/>
  <c r="AM2" i="2"/>
  <c r="AL2" i="2"/>
  <c r="AJ2" i="2"/>
  <c r="AI2" i="2"/>
  <c r="AG2" i="2"/>
  <c r="AF2" i="2"/>
  <c r="AE2" i="2"/>
  <c r="AD2" i="2"/>
  <c r="AC2" i="2"/>
  <c r="AB2" i="2"/>
  <c r="AA2" i="2"/>
  <c r="Z2" i="2"/>
  <c r="X2" i="2"/>
  <c r="W2" i="2"/>
  <c r="V2" i="2"/>
  <c r="U2" i="2"/>
  <c r="T2" i="2"/>
  <c r="S2" i="2"/>
  <c r="R2" i="2"/>
  <c r="Q2" i="2"/>
  <c r="BB3" i="4" l="1"/>
  <c r="BA2" i="7"/>
  <c r="BF6" i="4"/>
  <c r="BF7" i="4"/>
  <c r="BC2" i="7"/>
  <c r="AL2" i="7"/>
  <c r="AU2" i="7"/>
  <c r="AY5" i="4"/>
  <c r="BE2" i="4"/>
  <c r="AW2" i="4"/>
  <c r="AW6" i="4"/>
  <c r="AW2" i="7"/>
  <c r="BF3" i="4"/>
  <c r="AZ2" i="7"/>
  <c r="AB2" i="7"/>
  <c r="AK2" i="7"/>
  <c r="BC3" i="4"/>
  <c r="BB4" i="4"/>
  <c r="AY6" i="4"/>
  <c r="BC4" i="4"/>
  <c r="BB5" i="4"/>
  <c r="BE3" i="4"/>
  <c r="BC5" i="4"/>
  <c r="BB6" i="4"/>
  <c r="AY7" i="4"/>
  <c r="AD3" i="4"/>
  <c r="AM3" i="4"/>
  <c r="AE3" i="4"/>
  <c r="AN3" i="4"/>
  <c r="AW3" i="4"/>
  <c r="AD4" i="4"/>
  <c r="AM4" i="4"/>
  <c r="BE4" i="4"/>
  <c r="BC6" i="4"/>
  <c r="BB7" i="4"/>
  <c r="AN4" i="4"/>
  <c r="BE5" i="4"/>
  <c r="BC7" i="4"/>
  <c r="AE4" i="4"/>
  <c r="AW4" i="4"/>
  <c r="AD5" i="4"/>
  <c r="AM5" i="4"/>
  <c r="AY3" i="4"/>
  <c r="AE5" i="4"/>
  <c r="AN5" i="4"/>
  <c r="BF5" i="4"/>
  <c r="AD6" i="4"/>
  <c r="AM6" i="4"/>
  <c r="BE6" i="4"/>
  <c r="AE6" i="4"/>
  <c r="AN6" i="4"/>
  <c r="AD7" i="4"/>
  <c r="AM7" i="4"/>
  <c r="AE7" i="4"/>
  <c r="AN7" i="4"/>
  <c r="AW7" i="4"/>
  <c r="AY2" i="4"/>
  <c r="BB2" i="4"/>
  <c r="AD2" i="4"/>
  <c r="AM2" i="4"/>
  <c r="Z2" i="3"/>
  <c r="AA2" i="3"/>
  <c r="AQ2" i="3"/>
  <c r="AF2" i="3"/>
  <c r="AJ2" i="3"/>
  <c r="AR2" i="3"/>
  <c r="V2" i="3"/>
  <c r="AG2" i="3"/>
  <c r="Y2" i="3"/>
  <c r="W2" i="3"/>
  <c r="AH2" i="3"/>
  <c r="AE2" i="3"/>
  <c r="X2" i="3"/>
  <c r="T2" i="3"/>
  <c r="AC2" i="3"/>
  <c r="AL2" i="3"/>
  <c r="U2" i="3"/>
  <c r="AO2" i="3"/>
  <c r="AD2" i="3"/>
  <c r="AM2" i="3"/>
  <c r="AP2" i="3"/>
  <c r="X8" i="5"/>
  <c r="AJ8" i="5" s="1"/>
  <c r="W8" i="5"/>
  <c r="AD8" i="5" s="1"/>
  <c r="X9" i="5"/>
  <c r="W9" i="5"/>
  <c r="AA9" i="5" s="1"/>
  <c r="X3" i="5"/>
  <c r="W3" i="5"/>
  <c r="AD3" i="5" s="1"/>
  <c r="X19" i="5"/>
  <c r="W19" i="5"/>
  <c r="AI19" i="5" s="1"/>
  <c r="AD5" i="5"/>
  <c r="X5" i="5"/>
  <c r="W5" i="5"/>
  <c r="AA5" i="5" s="1"/>
  <c r="X18" i="5"/>
  <c r="W18" i="5"/>
  <c r="AA18" i="5" s="1"/>
  <c r="X17" i="5"/>
  <c r="W17" i="5"/>
  <c r="AD17" i="5" s="1"/>
  <c r="X16" i="5"/>
  <c r="W16" i="5"/>
  <c r="AD16" i="5" s="1"/>
  <c r="X15" i="5"/>
  <c r="W15" i="5"/>
  <c r="AD15" i="5" s="1"/>
  <c r="X14" i="5"/>
  <c r="W14" i="5"/>
  <c r="AA14" i="5" s="1"/>
  <c r="X13" i="5"/>
  <c r="W13" i="5"/>
  <c r="AD13" i="5" s="1"/>
  <c r="X12" i="5"/>
  <c r="W12" i="5"/>
  <c r="AD12" i="5" s="1"/>
  <c r="X11" i="5"/>
  <c r="W11" i="5"/>
  <c r="AA11" i="5" s="1"/>
  <c r="X6" i="5"/>
  <c r="W6" i="5"/>
  <c r="AA6" i="5" s="1"/>
  <c r="X4" i="5"/>
  <c r="W4" i="5"/>
  <c r="AD4" i="5" s="1"/>
  <c r="X10" i="5"/>
  <c r="W10" i="5"/>
  <c r="X2" i="5"/>
  <c r="W2" i="5"/>
  <c r="AJ15" i="5" l="1"/>
  <c r="AA15" i="5"/>
  <c r="AD6" i="5"/>
  <c r="AF17" i="5"/>
  <c r="AG10" i="5"/>
  <c r="AF9" i="5"/>
  <c r="AC4" i="5"/>
  <c r="AG12" i="5"/>
  <c r="AJ5" i="5"/>
  <c r="AF11" i="5"/>
  <c r="Z6" i="5"/>
  <c r="AG13" i="5"/>
  <c r="AF2" i="5"/>
  <c r="AC11" i="5"/>
  <c r="AF13" i="5"/>
  <c r="AF18" i="5"/>
  <c r="AI10" i="5"/>
  <c r="AC6" i="5"/>
  <c r="AD11" i="5"/>
  <c r="Z15" i="5"/>
  <c r="AC17" i="5"/>
  <c r="AG19" i="5"/>
  <c r="AD9" i="5"/>
  <c r="AF8" i="5"/>
  <c r="AJ2" i="5"/>
  <c r="AF6" i="5"/>
  <c r="Z14" i="5"/>
  <c r="AC15" i="5"/>
  <c r="AG17" i="5"/>
  <c r="Z5" i="5"/>
  <c r="AC3" i="5"/>
  <c r="AC14" i="5"/>
  <c r="AF3" i="5"/>
  <c r="AA2" i="5"/>
  <c r="AF4" i="5"/>
  <c r="AJ11" i="5"/>
  <c r="AI12" i="5"/>
  <c r="AD14" i="5"/>
  <c r="AF15" i="5"/>
  <c r="Z18" i="5"/>
  <c r="AC5" i="5"/>
  <c r="AG3" i="5"/>
  <c r="Z8" i="5"/>
  <c r="AC2" i="5"/>
  <c r="AG4" i="5"/>
  <c r="Z11" i="5"/>
  <c r="AC18" i="5"/>
  <c r="AA8" i="5"/>
  <c r="Z2" i="5"/>
  <c r="AF14" i="5"/>
  <c r="AD2" i="5"/>
  <c r="AC13" i="5"/>
  <c r="AG16" i="5"/>
  <c r="AD18" i="5"/>
  <c r="AF5" i="5"/>
  <c r="AJ9" i="5"/>
  <c r="AC8" i="5"/>
  <c r="AC9" i="5"/>
  <c r="Z16" i="5"/>
  <c r="AI17" i="5"/>
  <c r="Z19" i="5"/>
  <c r="AI3" i="5"/>
  <c r="Z10" i="5"/>
  <c r="AI4" i="5"/>
  <c r="AA10" i="5"/>
  <c r="AJ4" i="5"/>
  <c r="AG6" i="5"/>
  <c r="AA12" i="5"/>
  <c r="AJ13" i="5"/>
  <c r="AG14" i="5"/>
  <c r="AA16" i="5"/>
  <c r="AJ17" i="5"/>
  <c r="AG18" i="5"/>
  <c r="AA19" i="5"/>
  <c r="AJ3" i="5"/>
  <c r="AG9" i="5"/>
  <c r="AI16" i="5"/>
  <c r="AC10" i="5"/>
  <c r="Z4" i="5"/>
  <c r="AI6" i="5"/>
  <c r="AC12" i="5"/>
  <c r="Z13" i="5"/>
  <c r="AI14" i="5"/>
  <c r="AC16" i="5"/>
  <c r="Z17" i="5"/>
  <c r="AI18" i="5"/>
  <c r="AC19" i="5"/>
  <c r="Z3" i="5"/>
  <c r="AI9" i="5"/>
  <c r="AJ16" i="5"/>
  <c r="AG2" i="5"/>
  <c r="AD10" i="5"/>
  <c r="AA4" i="5"/>
  <c r="AJ6" i="5"/>
  <c r="AG11" i="5"/>
  <c r="AA13" i="5"/>
  <c r="AJ14" i="5"/>
  <c r="AG15" i="5"/>
  <c r="AA17" i="5"/>
  <c r="AJ18" i="5"/>
  <c r="AG5" i="5"/>
  <c r="AD19" i="5"/>
  <c r="AA3" i="5"/>
  <c r="AG8" i="5"/>
  <c r="AJ12" i="5"/>
  <c r="AI2" i="5"/>
  <c r="AF10" i="5"/>
  <c r="AI11" i="5"/>
  <c r="AF12" i="5"/>
  <c r="AI15" i="5"/>
  <c r="AF16" i="5"/>
  <c r="AI5" i="5"/>
  <c r="AF19" i="5"/>
  <c r="Z9" i="5"/>
  <c r="AI8" i="5"/>
  <c r="AJ10" i="5"/>
  <c r="AJ19" i="5"/>
  <c r="Z12" i="5"/>
  <c r="AI13" i="5"/>
</calcChain>
</file>

<file path=xl/sharedStrings.xml><?xml version="1.0" encoding="utf-8"?>
<sst xmlns="http://schemas.openxmlformats.org/spreadsheetml/2006/main" count="1567" uniqueCount="455">
  <si>
    <t>Setting</t>
  </si>
  <si>
    <t>LIST</t>
  </si>
  <si>
    <t>WEB</t>
  </si>
  <si>
    <t>Excel</t>
  </si>
  <si>
    <t>삭제</t>
  </si>
  <si>
    <t>상세보기</t>
  </si>
  <si>
    <t>FILTER</t>
  </si>
  <si>
    <t>검색</t>
  </si>
  <si>
    <t>수정완료일자</t>
    <phoneticPr fontId="1" type="noConversion"/>
  </si>
  <si>
    <t>수정담당자</t>
    <phoneticPr fontId="1" type="noConversion"/>
  </si>
  <si>
    <t>수정여부</t>
    <phoneticPr fontId="1" type="noConversion"/>
  </si>
  <si>
    <t>결함 상세내용
(결함화면 캡쳐 및 설명상세히 기술)</t>
    <phoneticPr fontId="1" type="noConversion"/>
  </si>
  <si>
    <t>테스트 결과</t>
    <phoneticPr fontId="1" type="noConversion"/>
  </si>
  <si>
    <t>테스트 담당자</t>
    <phoneticPr fontId="1" type="noConversion"/>
  </si>
  <si>
    <t>테스트 일자</t>
    <phoneticPr fontId="1" type="noConversion"/>
  </si>
  <si>
    <t>테스트 사항</t>
    <phoneticPr fontId="1" type="noConversion"/>
  </si>
  <si>
    <t>기능사항</t>
    <phoneticPr fontId="1" type="noConversion"/>
  </si>
  <si>
    <t>버튼명</t>
    <phoneticPr fontId="4" type="noConversion"/>
  </si>
  <si>
    <t>버튼위치</t>
    <phoneticPr fontId="4" type="noConversion"/>
  </si>
  <si>
    <t>SERVICE_TYPE</t>
  </si>
  <si>
    <t>파일Desc</t>
    <phoneticPr fontId="4" type="noConversion"/>
  </si>
  <si>
    <t>파일Name</t>
    <phoneticPr fontId="4" type="noConversion"/>
  </si>
  <si>
    <t>매뉴번호</t>
    <phoneticPr fontId="4" type="noConversion"/>
  </si>
  <si>
    <t>순번</t>
    <phoneticPr fontId="1" type="noConversion"/>
  </si>
  <si>
    <t>순서</t>
    <phoneticPr fontId="1" type="noConversion"/>
  </si>
  <si>
    <t>MENU NO</t>
    <phoneticPr fontId="1" type="noConversion"/>
  </si>
  <si>
    <t>FILE_NAME</t>
    <phoneticPr fontId="1" type="noConversion"/>
  </si>
  <si>
    <t>PAGE_TYPE</t>
    <phoneticPr fontId="1" type="noConversion"/>
  </si>
  <si>
    <t>FILE_DESC</t>
    <phoneticPr fontId="1" type="noConversion"/>
  </si>
  <si>
    <t>비고</t>
    <phoneticPr fontId="4" type="noConversion"/>
  </si>
  <si>
    <t>변경내용</t>
    <phoneticPr fontId="4" type="noConversion"/>
  </si>
  <si>
    <t>변경일자</t>
    <phoneticPr fontId="4" type="noConversion"/>
  </si>
  <si>
    <t>순번</t>
    <phoneticPr fontId="4" type="noConversion"/>
  </si>
  <si>
    <t xml:space="preserve"> </t>
    <phoneticPr fontId="4" type="noConversion"/>
  </si>
  <si>
    <t>Site Type</t>
    <phoneticPr fontId="1" type="noConversion"/>
  </si>
  <si>
    <t>REMARK</t>
  </si>
  <si>
    <t>AP591</t>
  </si>
  <si>
    <t>workPmiDetail</t>
  </si>
  <si>
    <t>Y</t>
  </si>
  <si>
    <t>DREAM</t>
  </si>
  <si>
    <t>2.00</t>
  </si>
  <si>
    <t>PAGE</t>
  </si>
  <si>
    <t>workPmiList</t>
  </si>
  <si>
    <t>점검작업 - 점검작업 목록</t>
  </si>
  <si>
    <t>N</t>
  </si>
  <si>
    <t>TAB</t>
  </si>
  <si>
    <t>110</t>
  </si>
  <si>
    <t>BUTTON</t>
  </si>
  <si>
    <t>COLSETTING</t>
  </si>
  <si>
    <t>SETTING</t>
  </si>
  <si>
    <t>100</t>
  </si>
  <si>
    <t>SEARCH</t>
  </si>
  <si>
    <t>OPEN</t>
  </si>
  <si>
    <t>DELETE</t>
  </si>
  <si>
    <t>EXCEL</t>
  </si>
  <si>
    <t>LABEL</t>
  </si>
  <si>
    <t>작업종류</t>
  </si>
  <si>
    <t>130</t>
  </si>
  <si>
    <t>woTypeDesc</t>
  </si>
  <si>
    <t>작업형태</t>
  </si>
  <si>
    <t>140</t>
  </si>
  <si>
    <t>pmType</t>
  </si>
  <si>
    <t>설비</t>
  </si>
  <si>
    <t>150</t>
  </si>
  <si>
    <t>equipment</t>
  </si>
  <si>
    <t>설비위치</t>
  </si>
  <si>
    <t>160</t>
  </si>
  <si>
    <t>location</t>
  </si>
  <si>
    <t>점검명</t>
  </si>
  <si>
    <t>170</t>
  </si>
  <si>
    <t>pmiDesc</t>
  </si>
  <si>
    <t>점검일자</t>
  </si>
  <si>
    <t>180</t>
  </si>
  <si>
    <t>inspectDate</t>
  </si>
  <si>
    <t>190</t>
  </si>
  <si>
    <t>작업그룹</t>
  </si>
  <si>
    <t>210</t>
  </si>
  <si>
    <t>wkCtr</t>
  </si>
  <si>
    <t>200</t>
  </si>
  <si>
    <t>담당자</t>
  </si>
  <si>
    <t>230</t>
  </si>
  <si>
    <t>manager</t>
  </si>
  <si>
    <t>220</t>
  </si>
  <si>
    <t>점검시간[분]</t>
  </si>
  <si>
    <t>240</t>
  </si>
  <si>
    <t>pmiWorkTime</t>
  </si>
  <si>
    <t>비고</t>
  </si>
  <si>
    <t>250</t>
  </si>
  <si>
    <t>remark</t>
  </si>
  <si>
    <t>270</t>
  </si>
  <si>
    <t>교대조</t>
  </si>
  <si>
    <t>260</t>
  </si>
  <si>
    <t>shiftType</t>
  </si>
  <si>
    <t>일자</t>
  </si>
  <si>
    <t>workDate</t>
  </si>
  <si>
    <t>예방작업번호</t>
  </si>
  <si>
    <t>workPmiCommonDTO.filterPmNo</t>
  </si>
  <si>
    <t>pmNo</t>
  </si>
  <si>
    <t>부서</t>
  </si>
  <si>
    <t>workPmiCommonDTO.filterDeptDesc</t>
  </si>
  <si>
    <t>dept</t>
  </si>
  <si>
    <t>workPmiCommonDTO.filterEquipDesc</t>
  </si>
  <si>
    <t>workPmiCommonDTO.filterEqLocDesc</t>
  </si>
  <si>
    <t>설비종류</t>
  </si>
  <si>
    <t>workPmiCommonDTO.filterEqCtgDesc</t>
  </si>
  <si>
    <t>eqCtg</t>
  </si>
  <si>
    <t>법정설비여부</t>
  </si>
  <si>
    <t>workPmiCommonDTO.filterIsLawEq</t>
  </si>
  <si>
    <t>isLawEq</t>
  </si>
  <si>
    <t>관리자(정)</t>
  </si>
  <si>
    <t>workPmiCommonDTO.filterMainMngName</t>
  </si>
  <si>
    <t>mainManager</t>
  </si>
  <si>
    <t>관리자(부)</t>
  </si>
  <si>
    <t>workPmiCommonDTO.filterSubMngName</t>
  </si>
  <si>
    <t>subManager</t>
  </si>
  <si>
    <t>workPmiCommonDTO.filterWoTypeDesc</t>
  </si>
  <si>
    <t>workPmiCommonDTO.filterPmTypeDesc</t>
  </si>
  <si>
    <t>workPmiCommonDTO.filterWkCtrDesc</t>
  </si>
  <si>
    <t>설비유형</t>
  </si>
  <si>
    <t>workPmiCommonDTO.filterEqCtgTypeDesc</t>
  </si>
  <si>
    <t>eqCtgType</t>
  </si>
  <si>
    <t>공장명</t>
  </si>
  <si>
    <t>workPmiCommonDTO.filterPlantDesc</t>
  </si>
  <si>
    <t>plantDesc</t>
  </si>
  <si>
    <t>점검작업상태</t>
  </si>
  <si>
    <t>workPmiCommonDTO.filterPmSchedStatusDesc</t>
  </si>
  <si>
    <t>pmiSchedStatus</t>
  </si>
  <si>
    <t>사용부서</t>
  </si>
  <si>
    <t>workPmiCommonDTO.filterUsageDeptDesc</t>
  </si>
  <si>
    <t>usedDept</t>
  </si>
  <si>
    <t>gridbox</t>
  </si>
  <si>
    <t>10</t>
  </si>
  <si>
    <t>선택</t>
  </si>
  <si>
    <t>60</t>
  </si>
  <si>
    <t>ISDELCHECK</t>
  </si>
  <si>
    <t>ch</t>
  </si>
  <si>
    <t>center</t>
  </si>
  <si>
    <t>na</t>
  </si>
  <si>
    <t>false</t>
  </si>
  <si>
    <t>순번</t>
  </si>
  <si>
    <t>80</t>
  </si>
  <si>
    <t>SEQNO</t>
  </si>
  <si>
    <t>seqNo</t>
  </si>
  <si>
    <t>cntr</t>
  </si>
  <si>
    <t>ro</t>
  </si>
  <si>
    <t>left</t>
  </si>
  <si>
    <t>str</t>
  </si>
  <si>
    <t>true</t>
  </si>
  <si>
    <t>WORKTIME</t>
  </si>
  <si>
    <t>EMPDESC</t>
  </si>
  <si>
    <t>WKORDATE</t>
  </si>
  <si>
    <t>점검시간</t>
  </si>
  <si>
    <t>MEASURETIME</t>
  </si>
  <si>
    <t>woTime</t>
  </si>
  <si>
    <t>설비번호</t>
  </si>
  <si>
    <t>equipNo</t>
  </si>
  <si>
    <t>eqLocDesc</t>
  </si>
  <si>
    <t>설비명</t>
  </si>
  <si>
    <t>EQUIPDESC</t>
  </si>
  <si>
    <t>equipName</t>
  </si>
  <si>
    <t>DEPTDESC</t>
  </si>
  <si>
    <t>PMINSLISTID</t>
  </si>
  <si>
    <t>#</t>
    <phoneticPr fontId="1" type="noConversion"/>
  </si>
  <si>
    <t>Menu No</t>
    <phoneticPr fontId="1" type="noConversion"/>
  </si>
  <si>
    <t>Page Type</t>
    <phoneticPr fontId="1" type="noConversion"/>
  </si>
  <si>
    <t>File No</t>
    <phoneticPr fontId="1" type="noConversion"/>
  </si>
  <si>
    <t>Korean
File Label</t>
    <phoneticPr fontId="1" type="noConversion"/>
  </si>
  <si>
    <t>English
File Label</t>
    <phoneticPr fontId="1" type="noConversion"/>
  </si>
  <si>
    <t>Chinese
File Label</t>
    <phoneticPr fontId="1" type="noConversion"/>
  </si>
  <si>
    <t>File Desc</t>
    <phoneticPr fontId="1" type="noConversion"/>
  </si>
  <si>
    <t>isUse</t>
    <phoneticPr fontId="1" type="noConversion"/>
  </si>
  <si>
    <t>isCheckAuth</t>
    <phoneticPr fontId="1" type="noConversion"/>
  </si>
  <si>
    <t>Key Type</t>
    <phoneticPr fontId="1" type="noConversion"/>
  </si>
  <si>
    <t>Key No</t>
    <phoneticPr fontId="1" type="noConversion"/>
  </si>
  <si>
    <t>Service Type</t>
    <phoneticPr fontId="1" type="noConversion"/>
  </si>
  <si>
    <t>Version</t>
    <phoneticPr fontId="1" type="noConversion"/>
  </si>
  <si>
    <t>Oracle 표준용
Page Insert</t>
    <phoneticPr fontId="1" type="noConversion"/>
  </si>
  <si>
    <t>Oracle 표준용
Page Update</t>
    <phoneticPr fontId="1" type="noConversion"/>
  </si>
  <si>
    <r>
      <t xml:space="preserve">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Page Insert</t>
    </r>
    <phoneticPr fontId="1" type="noConversion"/>
  </si>
  <si>
    <r>
      <t xml:space="preserve">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Page Update</t>
    </r>
    <phoneticPr fontId="1" type="noConversion"/>
  </si>
  <si>
    <t>Oracle 배포용
Page Insert</t>
    <phoneticPr fontId="1" type="noConversion"/>
  </si>
  <si>
    <t>Ms-Sql 배포용
Page Insert</t>
    <phoneticPr fontId="1" type="noConversion"/>
  </si>
  <si>
    <t>Oracle QA용
Page Insert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</si>
  <si>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Arial"/>
        <family val="3"/>
        <charset val="129"/>
      </rPr>
      <t>용</t>
    </r>
    <r>
      <rPr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Arial"/>
        <family val="2"/>
      </rPr>
      <t>Page Insert</t>
    </r>
    <phoneticPr fontId="1" type="noConversion"/>
  </si>
  <si>
    <t>Parent File No</t>
    <phoneticPr fontId="1" type="noConversion"/>
  </si>
  <si>
    <t>Child File No</t>
    <phoneticPr fontId="1" type="noConversion"/>
  </si>
  <si>
    <t>Korean
Tab Label</t>
    <phoneticPr fontId="1" type="noConversion"/>
  </si>
  <si>
    <t>English
Tab Label</t>
    <phoneticPr fontId="1" type="noConversion"/>
  </si>
  <si>
    <t>Chinese
Tab Label</t>
    <phoneticPr fontId="1" type="noConversion"/>
  </si>
  <si>
    <t>Child File Desc</t>
    <phoneticPr fontId="1" type="noConversion"/>
  </si>
  <si>
    <t>ordNo</t>
    <phoneticPr fontId="1" type="noConversion"/>
  </si>
  <si>
    <t>REMARK</t>
    <phoneticPr fontId="1" type="noConversion"/>
  </si>
  <si>
    <t>준비
pPage Sql</t>
    <phoneticPr fontId="1" type="noConversion"/>
  </si>
  <si>
    <t>준비
cPage Sql</t>
    <phoneticPr fontId="1" type="noConversion"/>
  </si>
  <si>
    <t>Oracle 표준용
Pgpage Insert</t>
    <phoneticPr fontId="1" type="noConversion"/>
  </si>
  <si>
    <t>Oracle 표준용
Pgpage Update</t>
    <phoneticPr fontId="1" type="noConversion"/>
  </si>
  <si>
    <r>
      <t xml:space="preserve">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Pgpage Insert</t>
    </r>
    <phoneticPr fontId="1" type="noConversion"/>
  </si>
  <si>
    <r>
      <t xml:space="preserve">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Pgpage Update</t>
    </r>
    <phoneticPr fontId="1" type="noConversion"/>
  </si>
  <si>
    <t>Oracle 배포용
Pgpage Insert</t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</si>
  <si>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배포용
</t>
    </r>
    <r>
      <rPr>
        <sz val="10"/>
        <color rgb="FF000000"/>
        <rFont val="Arial"/>
        <family val="2"/>
      </rPr>
      <t>Pgpage Insert</t>
    </r>
    <phoneticPr fontId="1" type="noConversion"/>
  </si>
  <si>
    <t>Oracle QA용
Pgpage Insert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</si>
  <si>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 xml:space="preserve">용
</t>
    </r>
    <r>
      <rPr>
        <sz val="10"/>
        <color rgb="FF000000"/>
        <rFont val="Arial"/>
        <family val="2"/>
      </rPr>
      <t>Pgpage Insert</t>
    </r>
    <phoneticPr fontId="1" type="noConversion"/>
  </si>
  <si>
    <t>Button Loc</t>
    <phoneticPr fontId="1" type="noConversion"/>
  </si>
  <si>
    <t>Button No</t>
    <phoneticPr fontId="1" type="noConversion"/>
  </si>
  <si>
    <t>Korean
Button Label</t>
    <phoneticPr fontId="1" type="noConversion"/>
  </si>
  <si>
    <t>English
Button Label</t>
    <phoneticPr fontId="1" type="noConversion"/>
  </si>
  <si>
    <t>Chinese
Button Label</t>
    <phoneticPr fontId="1" type="noConversion"/>
  </si>
  <si>
    <t>Program Spec</t>
    <phoneticPr fontId="1" type="noConversion"/>
  </si>
  <si>
    <t>Oracle 표준용
Button Insert</t>
    <phoneticPr fontId="1" type="noConversion"/>
  </si>
  <si>
    <t>Oracle 표준용
Button Update</t>
    <phoneticPr fontId="1" type="noConversion"/>
  </si>
  <si>
    <t>Ms-sql 표준용
Button Insert</t>
    <phoneticPr fontId="1" type="noConversion"/>
  </si>
  <si>
    <t>Ms-sql 표준용
Button Update</t>
    <phoneticPr fontId="1" type="noConversion"/>
  </si>
  <si>
    <t>준비
Page Sql</t>
    <phoneticPr fontId="1" type="noConversion"/>
  </si>
  <si>
    <t>준비
button Sql</t>
    <phoneticPr fontId="1" type="noConversion"/>
  </si>
  <si>
    <t>준비
Pgbtn(Ins)Sql</t>
    <phoneticPr fontId="1" type="noConversion"/>
  </si>
  <si>
    <t>Ms-Sql 표준용
Pgpage Insert</t>
    <phoneticPr fontId="1" type="noConversion"/>
  </si>
  <si>
    <t>Ms-Sql 표준용
Pgpage Update</t>
    <phoneticPr fontId="1" type="noConversion"/>
  </si>
  <si>
    <t>Oracle 배포용
button Insert</t>
    <phoneticPr fontId="1" type="noConversion"/>
  </si>
  <si>
    <t>Oracle 배포용
Pgbutton Insert</t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</si>
  <si>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배포용
</t>
    </r>
    <r>
      <rPr>
        <sz val="10"/>
        <color rgb="FF000000"/>
        <rFont val="Arial"/>
        <family val="2"/>
      </rPr>
      <t>button Insert</t>
    </r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</si>
  <si>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배포용
</t>
    </r>
    <r>
      <rPr>
        <sz val="10"/>
        <color rgb="FF000000"/>
        <rFont val="Arial"/>
        <family val="2"/>
      </rPr>
      <t>Pgbutton Insert</t>
    </r>
    <phoneticPr fontId="1" type="noConversion"/>
  </si>
  <si>
    <t>Oracle QA용
button Insert</t>
    <phoneticPr fontId="1" type="noConversion"/>
  </si>
  <si>
    <t>Oracle QA용
Pgbutton Insert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</si>
  <si>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Arial"/>
        <family val="3"/>
        <charset val="129"/>
      </rPr>
      <t>용</t>
    </r>
    <r>
      <rPr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Arial"/>
        <family val="2"/>
      </rPr>
      <t>button Insert</t>
    </r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</si>
  <si>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Arial"/>
        <family val="3"/>
        <charset val="129"/>
      </rPr>
      <t>용</t>
    </r>
    <r>
      <rPr>
        <sz val="10"/>
        <color rgb="FF000000"/>
        <rFont val="맑은 고딕"/>
        <family val="3"/>
        <charset val="129"/>
      </rPr>
      <t xml:space="preserve">
</t>
    </r>
    <r>
      <rPr>
        <sz val="10"/>
        <color rgb="FF000000"/>
        <rFont val="Arial"/>
        <family val="2"/>
      </rPr>
      <t>Pgbutton Insert</t>
    </r>
    <phoneticPr fontId="1" type="noConversion"/>
  </si>
  <si>
    <t>Field Id</t>
    <phoneticPr fontId="1" type="noConversion"/>
  </si>
  <si>
    <r>
      <t xml:space="preserve">Field Label
</t>
    </r>
    <r>
      <rPr>
        <sz val="8"/>
        <color theme="1"/>
        <rFont val="맑은 고딕"/>
        <family val="3"/>
        <charset val="129"/>
        <scheme val="minor"/>
      </rPr>
      <t>(Key No의 Label 확인)</t>
    </r>
    <phoneticPr fontId="1" type="noConversion"/>
  </si>
  <si>
    <t>isHidden</t>
    <phoneticPr fontId="1" type="noConversion"/>
  </si>
  <si>
    <t>isDisplay</t>
    <phoneticPr fontId="1" type="noConversion"/>
  </si>
  <si>
    <r>
      <t xml:space="preserve">isMandatory
</t>
    </r>
    <r>
      <rPr>
        <sz val="7"/>
        <color theme="1"/>
        <rFont val="맑은 고딕"/>
        <family val="3"/>
        <charset val="129"/>
        <scheme val="minor"/>
      </rPr>
      <t xml:space="preserve"> Y:저장시필수
 C:확정시필수
 N:필수아님</t>
    </r>
    <phoneticPr fontId="1" type="noConversion"/>
  </si>
  <si>
    <t>isReadOnly</t>
    <phoneticPr fontId="1" type="noConversion"/>
  </si>
  <si>
    <t>Limit Length</t>
    <phoneticPr fontId="1" type="noConversion"/>
  </si>
  <si>
    <t>isSystem</t>
    <phoneticPr fontId="1" type="noConversion"/>
  </si>
  <si>
    <t>List Code Type</t>
    <phoneticPr fontId="1" type="noConversion"/>
  </si>
  <si>
    <t>Table Name</t>
    <phoneticPr fontId="1" type="noConversion"/>
  </si>
  <si>
    <t>Column Name</t>
    <phoneticPr fontId="1" type="noConversion"/>
  </si>
  <si>
    <t>Remark</t>
    <phoneticPr fontId="1" type="noConversion"/>
  </si>
  <si>
    <t>준비
Field(Ins)Sql</t>
    <phoneticPr fontId="1" type="noConversion"/>
  </si>
  <si>
    <t>Oracle 표준용
Field Insert</t>
    <phoneticPr fontId="1" type="noConversion"/>
  </si>
  <si>
    <t>Oracle 표준용
Field Update</t>
    <phoneticPr fontId="1" type="noConversion"/>
  </si>
  <si>
    <t>Grid Id</t>
    <phoneticPr fontId="1" type="noConversion"/>
  </si>
  <si>
    <t>Grid Height</t>
    <phoneticPr fontId="1" type="noConversion"/>
  </si>
  <si>
    <t>Column Id</t>
    <phoneticPr fontId="1" type="noConversion"/>
  </si>
  <si>
    <r>
      <t xml:space="preserve">Column Label
</t>
    </r>
    <r>
      <rPr>
        <sz val="8"/>
        <color theme="1"/>
        <rFont val="맑은 고딕"/>
        <family val="3"/>
        <charset val="129"/>
        <scheme val="minor"/>
      </rPr>
      <t>(Key No의 Label 확인)</t>
    </r>
    <phoneticPr fontId="1" type="noConversion"/>
  </si>
  <si>
    <t>컬럼설명</t>
    <phoneticPr fontId="1" type="noConversion"/>
  </si>
  <si>
    <t>Grid Column
ordNo</t>
    <phoneticPr fontId="1" type="noConversion"/>
  </si>
  <si>
    <t>Grid Column
Width</t>
    <phoneticPr fontId="1" type="noConversion"/>
  </si>
  <si>
    <t>Grid Column
 Type</t>
    <phoneticPr fontId="1" type="noConversion"/>
  </si>
  <si>
    <t>Grid Column
Align</t>
    <phoneticPr fontId="1" type="noConversion"/>
  </si>
  <si>
    <t>Grid Column Sort</t>
    <phoneticPr fontId="1" type="noConversion"/>
  </si>
  <si>
    <t>Grid Column Hidden</t>
    <phoneticPr fontId="1" type="noConversion"/>
  </si>
  <si>
    <t>Grid Column
isSsystemCol</t>
    <phoneticPr fontId="1" type="noConversion"/>
  </si>
  <si>
    <t>Grid Column
isDisplay</t>
    <phoneticPr fontId="1" type="noConversion"/>
  </si>
  <si>
    <t>Oracle 표준용
PgGrid Insert</t>
    <phoneticPr fontId="1" type="noConversion"/>
  </si>
  <si>
    <t>Oracle 표준용
PgGrid Update</t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</si>
  <si>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PgGrid Insert</t>
    </r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</si>
  <si>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PgGrid Update</t>
    </r>
    <phoneticPr fontId="1" type="noConversion"/>
  </si>
  <si>
    <t>준비
Pggrid Sql</t>
    <phoneticPr fontId="1" type="noConversion"/>
  </si>
  <si>
    <t>준비
PggridCol(Ins) Sql</t>
    <phoneticPr fontId="1" type="noConversion"/>
  </si>
  <si>
    <t>Oracle 표준용
PgGridCol Insert</t>
    <phoneticPr fontId="1" type="noConversion"/>
  </si>
  <si>
    <t>Oracle 표준용
PgGridCol Update</t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</si>
  <si>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PgGridCol Insert</t>
    </r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</si>
  <si>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PgGridCol Update</t>
    </r>
    <phoneticPr fontId="1" type="noConversion"/>
  </si>
  <si>
    <t>Oracle 배포용
PgGrid Insert</t>
    <phoneticPr fontId="1" type="noConversion"/>
  </si>
  <si>
    <t>Oracle 배포용
PgGridCol Insert</t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</si>
  <si>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배포용
</t>
    </r>
    <r>
      <rPr>
        <sz val="10"/>
        <color rgb="FF000000"/>
        <rFont val="Arial"/>
        <family val="2"/>
      </rPr>
      <t>PgGrid Insert</t>
    </r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</si>
  <si>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배포용
</t>
    </r>
    <r>
      <rPr>
        <sz val="10"/>
        <color rgb="FF000000"/>
        <rFont val="Arial"/>
        <family val="2"/>
      </rPr>
      <t>PgGridCol Insert</t>
    </r>
    <phoneticPr fontId="1" type="noConversion"/>
  </si>
  <si>
    <t>Oracle QA용
PgGrid Insert</t>
    <phoneticPr fontId="1" type="noConversion"/>
  </si>
  <si>
    <t>Oracle QA용
PgGridCol Insert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</si>
  <si>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 xml:space="preserve">용
</t>
    </r>
    <r>
      <rPr>
        <sz val="10"/>
        <color rgb="FF000000"/>
        <rFont val="Arial"/>
        <family val="2"/>
      </rPr>
      <t>PgGrid Insert</t>
    </r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</si>
  <si>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 xml:space="preserve">용
</t>
    </r>
    <r>
      <rPr>
        <sz val="10"/>
        <color rgb="FF000000"/>
        <rFont val="Arial"/>
        <family val="2"/>
      </rPr>
      <t>PgGridCol Insert</t>
    </r>
    <phoneticPr fontId="1" type="noConversion"/>
  </si>
  <si>
    <t>Linked Function No</t>
    <phoneticPr fontId="1" type="noConversion"/>
  </si>
  <si>
    <t>Linked Function 
Method Name</t>
    <phoneticPr fontId="1" type="noConversion"/>
  </si>
  <si>
    <t>Korean
Linked Label</t>
    <phoneticPr fontId="1" type="noConversion"/>
  </si>
  <si>
    <t>English
Linked Label</t>
    <phoneticPr fontId="1" type="noConversion"/>
  </si>
  <si>
    <t>Chinese
Linked Label</t>
    <phoneticPr fontId="1" type="noConversion"/>
  </si>
  <si>
    <t>Linked Function 
isUse</t>
    <phoneticPr fontId="1" type="noConversion"/>
  </si>
  <si>
    <t>Linked Function Loc</t>
    <phoneticPr fontId="1" type="noConversion"/>
  </si>
  <si>
    <t>Oracle 표준용
linkedfunc Insert</t>
    <phoneticPr fontId="1" type="noConversion"/>
  </si>
  <si>
    <t>Oracle 표준용
linkedfunc Update</t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</si>
  <si>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linkedfunc Insert</t>
    </r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</si>
  <si>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linkedfunc Update</t>
    </r>
    <phoneticPr fontId="1" type="noConversion"/>
  </si>
  <si>
    <t>준비
linkedfunc Sql</t>
    <phoneticPr fontId="1" type="noConversion"/>
  </si>
  <si>
    <t>준비
pglinkedfunc ins Sql</t>
    <phoneticPr fontId="1" type="noConversion"/>
  </si>
  <si>
    <t>Oracle 표준용
PgLinkedFunc Insert</t>
    <phoneticPr fontId="1" type="noConversion"/>
  </si>
  <si>
    <t>Oracle 표준용
PgLinkedFunc Update</t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</si>
  <si>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PgLinkedFunc Insert</t>
    </r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</si>
  <si>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PgLinkedFunc Update</t>
    </r>
    <phoneticPr fontId="1" type="noConversion"/>
  </si>
  <si>
    <t>Oracle 배포용
linkedfunc Insert</t>
    <phoneticPr fontId="1" type="noConversion"/>
  </si>
  <si>
    <t>Oracle 배포용
PgLinkedFunc Insert</t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</si>
  <si>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배포용
</t>
    </r>
    <r>
      <rPr>
        <sz val="10"/>
        <color rgb="FF000000"/>
        <rFont val="Arial"/>
        <family val="2"/>
      </rPr>
      <t>linkedfunc Insert</t>
    </r>
    <phoneticPr fontId="1" type="noConversion"/>
  </si>
  <si>
    <r>
      <t xml:space="preserve">Ms-Sql </t>
    </r>
    <r>
      <rPr>
        <sz val="10"/>
        <color rgb="FF000000"/>
        <rFont val="맑은 고딕"/>
        <family val="3"/>
        <charset val="129"/>
      </rPr>
      <t xml:space="preserve">배포용
</t>
    </r>
    <r>
      <rPr>
        <sz val="10"/>
        <color rgb="FF000000"/>
        <rFont val="Arial"/>
        <family val="2"/>
      </rPr>
      <t>PgLinkedFunc Insert</t>
    </r>
    <phoneticPr fontId="1" type="noConversion"/>
  </si>
  <si>
    <t>Oracle QA용
linkedfunc Insert</t>
    <phoneticPr fontId="1" type="noConversion"/>
  </si>
  <si>
    <t>Oracle QA용
PgLinkedFunc Insert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</si>
  <si>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 xml:space="preserve">용
</t>
    </r>
    <r>
      <rPr>
        <sz val="10"/>
        <color rgb="FF000000"/>
        <rFont val="Arial"/>
        <family val="2"/>
      </rPr>
      <t>linkedfunc Insert</t>
    </r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</si>
  <si>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 xml:space="preserve">용
</t>
    </r>
    <r>
      <rPr>
        <sz val="10"/>
        <color rgb="FF000000"/>
        <rFont val="Arial"/>
        <family val="2"/>
      </rPr>
      <t>PgLinkedFunc Insert</t>
    </r>
    <phoneticPr fontId="1" type="noConversion"/>
  </si>
  <si>
    <t>ML</t>
    <phoneticPr fontId="1" type="noConversion"/>
  </si>
  <si>
    <t>Y</t>
    <phoneticPr fontId="1" type="noConversion"/>
  </si>
  <si>
    <t>DREAM</t>
    <phoneticPr fontId="4" type="noConversion"/>
  </si>
  <si>
    <t>2.00</t>
    <phoneticPr fontId="4" type="noConversion"/>
  </si>
  <si>
    <t>110</t>
    <phoneticPr fontId="1" type="noConversion"/>
  </si>
  <si>
    <t>120</t>
    <phoneticPr fontId="1" type="noConversion"/>
  </si>
  <si>
    <t>130</t>
    <phoneticPr fontId="1" type="noConversion"/>
  </si>
  <si>
    <t>140</t>
    <phoneticPr fontId="1" type="noConversion"/>
  </si>
  <si>
    <t>TBD</t>
    <phoneticPr fontId="1" type="noConversion"/>
  </si>
  <si>
    <t>1.00</t>
    <phoneticPr fontId="1" type="noConversion"/>
  </si>
  <si>
    <t>N</t>
    <phoneticPr fontId="1" type="noConversion"/>
  </si>
  <si>
    <t>PMSCHEDSTATUSDESC</t>
  </si>
  <si>
    <t>PMTYPEDESC</t>
  </si>
  <si>
    <t>PMIDESC</t>
  </si>
  <si>
    <t>SHIFTTYPEDESC</t>
  </si>
  <si>
    <t>PMI Execute List</t>
    <phoneticPr fontId="1" type="noConversion"/>
  </si>
  <si>
    <t>Search</t>
    <phoneticPr fontId="1" type="noConversion"/>
  </si>
  <si>
    <t>Open</t>
    <phoneticPr fontId="1" type="noConversion"/>
  </si>
  <si>
    <t>Delete</t>
    <phoneticPr fontId="1" type="noConversion"/>
  </si>
  <si>
    <t xml:space="preserve"> Ko Oracle 표준용
Lang Insert</t>
    <phoneticPr fontId="1" type="noConversion"/>
  </si>
  <si>
    <t>Ko Oracle 표준용
Lang Update</t>
    <phoneticPr fontId="1" type="noConversion"/>
  </si>
  <si>
    <t xml:space="preserve"> En Oracle 표준용
Lang Insert</t>
    <phoneticPr fontId="1" type="noConversion"/>
  </si>
  <si>
    <t>En Oracle 표준용
Lang Update</t>
    <phoneticPr fontId="1" type="noConversion"/>
  </si>
  <si>
    <t xml:space="preserve"> Cn Oracle 표준용
Lang Insert</t>
    <phoneticPr fontId="1" type="noConversion"/>
  </si>
  <si>
    <t>Cn Oracle 표준용
Lang Update</t>
    <phoneticPr fontId="1" type="noConversion"/>
  </si>
  <si>
    <r>
      <t xml:space="preserve">Ko 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Lang Insert</t>
    </r>
    <phoneticPr fontId="1" type="noConversion"/>
  </si>
  <si>
    <r>
      <t xml:space="preserve">Ko 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Lang Update</t>
    </r>
    <phoneticPr fontId="1" type="noConversion"/>
  </si>
  <si>
    <r>
      <t xml:space="preserve">En 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Lang Insert</t>
    </r>
    <phoneticPr fontId="1" type="noConversion"/>
  </si>
  <si>
    <r>
      <t xml:space="preserve">En 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Lang Update</t>
    </r>
    <phoneticPr fontId="1" type="noConversion"/>
  </si>
  <si>
    <r>
      <t xml:space="preserve">Cn 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Lang Insert</t>
    </r>
    <phoneticPr fontId="1" type="noConversion"/>
  </si>
  <si>
    <r>
      <t xml:space="preserve">Cn Ms-Sql </t>
    </r>
    <r>
      <rPr>
        <sz val="10"/>
        <color rgb="FF000000"/>
        <rFont val="맑은 고딕"/>
        <family val="2"/>
        <charset val="129"/>
      </rPr>
      <t>표준용</t>
    </r>
    <r>
      <rPr>
        <sz val="11"/>
        <color theme="1"/>
        <rFont val="맑은 고딕"/>
        <family val="2"/>
        <charset val="129"/>
        <scheme val="minor"/>
      </rPr>
      <t xml:space="preserve">
Lang Update</t>
    </r>
    <phoneticPr fontId="1" type="noConversion"/>
  </si>
  <si>
    <t>Oracle QA용
Page Update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</si>
  <si>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 xml:space="preserve">용
</t>
    </r>
    <r>
      <rPr>
        <sz val="10"/>
        <color rgb="FF000000"/>
        <rFont val="Arial"/>
        <family val="2"/>
      </rPr>
      <t>Page Update</t>
    </r>
    <phoneticPr fontId="1" type="noConversion"/>
  </si>
  <si>
    <t>Ko Oracle 표준용
Lang Insert</t>
    <phoneticPr fontId="1" type="noConversion"/>
  </si>
  <si>
    <t>En Oracle 표준용
Lang Insert</t>
    <phoneticPr fontId="1" type="noConversion"/>
  </si>
  <si>
    <t>Cn Oracle 표준용
Lang Insert</t>
    <phoneticPr fontId="1" type="noConversion"/>
  </si>
  <si>
    <t>Oracle QA용
Pgpage Update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</si>
  <si>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 xml:space="preserve">용
</t>
    </r>
    <r>
      <rPr>
        <sz val="10"/>
        <color rgb="FF000000"/>
        <rFont val="Arial"/>
        <family val="2"/>
      </rPr>
      <t>Pgpage Update</t>
    </r>
    <phoneticPr fontId="1" type="noConversion"/>
  </si>
  <si>
    <r>
      <t xml:space="preserve">Ko Ms-Sql </t>
    </r>
    <r>
      <rPr>
        <sz val="10"/>
        <color rgb="FF000000"/>
        <rFont val="맑은 고딕"/>
        <family val="3"/>
        <charset val="129"/>
      </rPr>
      <t>표준용</t>
    </r>
    <r>
      <rPr>
        <sz val="10"/>
        <color rgb="FF000000"/>
        <rFont val="Arial"/>
        <family val="3"/>
      </rPr>
      <t xml:space="preserve">
</t>
    </r>
    <r>
      <rPr>
        <sz val="10"/>
        <color rgb="FF000000"/>
        <rFont val="Arial"/>
        <family val="2"/>
      </rPr>
      <t>Lang Insert</t>
    </r>
    <phoneticPr fontId="1" type="noConversion"/>
  </si>
  <si>
    <r>
      <t xml:space="preserve">Ko 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Lang Update</t>
    </r>
    <phoneticPr fontId="1" type="noConversion"/>
  </si>
  <si>
    <r>
      <t xml:space="preserve">En 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Lang Insert</t>
    </r>
    <phoneticPr fontId="1" type="noConversion"/>
  </si>
  <si>
    <r>
      <t xml:space="preserve">En 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Lang Update</t>
    </r>
    <phoneticPr fontId="1" type="noConversion"/>
  </si>
  <si>
    <r>
      <t xml:space="preserve">Cn 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Lang Insert</t>
    </r>
    <phoneticPr fontId="1" type="noConversion"/>
  </si>
  <si>
    <r>
      <t xml:space="preserve">Cn Ms-Sql </t>
    </r>
    <r>
      <rPr>
        <sz val="10"/>
        <color rgb="FF000000"/>
        <rFont val="맑은 고딕"/>
        <family val="3"/>
        <charset val="129"/>
      </rPr>
      <t xml:space="preserve">표준용
</t>
    </r>
    <r>
      <rPr>
        <sz val="10"/>
        <color rgb="FF000000"/>
        <rFont val="Arial"/>
        <family val="2"/>
      </rPr>
      <t>Lang Update</t>
    </r>
    <phoneticPr fontId="1" type="noConversion"/>
  </si>
  <si>
    <t>Oracle QA용
Pgbutton Update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</si>
  <si>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>용</t>
    </r>
    <r>
      <rPr>
        <sz val="10"/>
        <color rgb="FF000000"/>
        <rFont val="Arial"/>
        <family val="3"/>
      </rPr>
      <t xml:space="preserve">
</t>
    </r>
    <r>
      <rPr>
        <sz val="10"/>
        <color rgb="FF000000"/>
        <rFont val="Arial"/>
        <family val="2"/>
      </rPr>
      <t>Pgbutton Update</t>
    </r>
    <phoneticPr fontId="1" type="noConversion"/>
  </si>
  <si>
    <t>Oracle QA용
PgLinkedFunc Update</t>
    <phoneticPr fontId="1" type="noConversion"/>
  </si>
  <si>
    <r>
      <t xml:space="preserve">Ms-Sql </t>
    </r>
    <r>
      <rPr>
        <sz val="10"/>
        <color rgb="FF000000"/>
        <rFont val="Arial"/>
        <family val="3"/>
      </rPr>
      <t>QA</t>
    </r>
    <r>
      <rPr>
        <sz val="10"/>
        <color rgb="FF000000"/>
        <rFont val="맑은 고딕"/>
        <family val="3"/>
        <charset val="129"/>
      </rPr>
      <t xml:space="preserve">용
</t>
    </r>
    <r>
      <rPr>
        <sz val="10"/>
        <color rgb="FF000000"/>
        <rFont val="Arial"/>
        <family val="2"/>
      </rPr>
      <t>PgLinkedFunc Update</t>
    </r>
    <phoneticPr fontId="1" type="noConversion"/>
  </si>
  <si>
    <t>workPmiList</t>
    <phoneticPr fontId="1" type="noConversion"/>
  </si>
  <si>
    <t>updateDate</t>
  </si>
  <si>
    <t>modifyBy</t>
  </si>
  <si>
    <t>createDate</t>
  </si>
  <si>
    <t>creBy</t>
  </si>
  <si>
    <t>TAPMINSLIST</t>
  </si>
  <si>
    <t>거래처</t>
    <phoneticPr fontId="1" type="noConversion"/>
  </si>
  <si>
    <t>154</t>
    <phoneticPr fontId="1" type="noConversion"/>
  </si>
  <si>
    <t>vendor</t>
    <phoneticPr fontId="1" type="noConversion"/>
  </si>
  <si>
    <t>TAPMINSLIST</t>
    <phoneticPr fontId="1" type="noConversion"/>
  </si>
  <si>
    <t>VENDOR_ID</t>
    <phoneticPr fontId="1" type="noConversion"/>
  </si>
  <si>
    <t>AP591</t>
    <phoneticPr fontId="1" type="noConversion"/>
  </si>
  <si>
    <t>workPmiCommonDTO.filterManagerDesc</t>
    <phoneticPr fontId="1" type="noConversion"/>
  </si>
  <si>
    <t>workPmiCommonDTO.filterVendorDesc</t>
    <phoneticPr fontId="1" type="noConversion"/>
  </si>
  <si>
    <t>점검작업#</t>
    <phoneticPr fontId="1" type="noConversion"/>
  </si>
  <si>
    <t>280</t>
    <phoneticPr fontId="1" type="noConversion"/>
  </si>
  <si>
    <t>pmiNo</t>
  </si>
  <si>
    <t>DREAM</t>
    <phoneticPr fontId="1" type="noConversion"/>
  </si>
  <si>
    <t>2.00</t>
    <phoneticPr fontId="1" type="noConversion"/>
  </si>
  <si>
    <t>PMINSLIST_ID</t>
  </si>
  <si>
    <t>콤마없는 숫자만 가능</t>
    <phoneticPr fontId="1" type="noConversion"/>
  </si>
  <si>
    <t>workPmiCommonDTO.filterPminslistId</t>
    <phoneticPr fontId="1" type="noConversion"/>
  </si>
  <si>
    <t>1. 정기점검실행목록 설계서 정리</t>
    <phoneticPr fontId="1" type="noConversion"/>
  </si>
  <si>
    <r>
      <t xml:space="preserve">1. </t>
    </r>
    <r>
      <rPr>
        <sz val="10"/>
        <color rgb="FF000000"/>
        <rFont val="맑은 고딕"/>
        <family val="3"/>
        <charset val="129"/>
        <scheme val="minor"/>
      </rPr>
      <t>검색조건에</t>
    </r>
    <r>
      <rPr>
        <sz val="10"/>
        <color indexed="8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점검작업</t>
    </r>
    <r>
      <rPr>
        <sz val="10"/>
        <color indexed="8"/>
        <rFont val="맑은 고딕"/>
        <family val="3"/>
        <charset val="129"/>
        <scheme val="minor"/>
      </rPr>
      <t xml:space="preserve"># </t>
    </r>
    <r>
      <rPr>
        <sz val="10"/>
        <color rgb="FF000000"/>
        <rFont val="맑은 고딕"/>
        <family val="3"/>
        <charset val="129"/>
        <scheme val="minor"/>
      </rPr>
      <t>항목</t>
    </r>
    <r>
      <rPr>
        <sz val="10"/>
        <color indexed="8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추가</t>
    </r>
    <phoneticPr fontId="1" type="noConversion"/>
  </si>
  <si>
    <t>workPmiListView</t>
    <phoneticPr fontId="1" type="noConversion"/>
  </si>
  <si>
    <t>workCalPmRInsMonthList</t>
  </si>
  <si>
    <t>목록</t>
    <phoneticPr fontId="1" type="noConversion"/>
  </si>
  <si>
    <t>월간</t>
    <phoneticPr fontId="1" type="noConversion"/>
  </si>
  <si>
    <t>Monthly Checkpoint Schedule</t>
  </si>
  <si>
    <t>workPmiCommonDTO.filterPmWkGrpNo</t>
    <phoneticPr fontId="1" type="noConversion"/>
  </si>
  <si>
    <t>점검Group</t>
    <phoneticPr fontId="1" type="noConversion"/>
  </si>
  <si>
    <t>290</t>
    <phoneticPr fontId="1" type="noConversion"/>
  </si>
  <si>
    <t>pmWorkGroup</t>
  </si>
  <si>
    <t>3.00</t>
    <phoneticPr fontId="1" type="noConversion"/>
  </si>
  <si>
    <t>TAPMWKGRP</t>
    <phoneticPr fontId="1" type="noConversion"/>
  </si>
  <si>
    <t>PMWKGRP_ID</t>
    <phoneticPr fontId="1" type="noConversion"/>
  </si>
  <si>
    <t>정기점검실행목록</t>
  </si>
  <si>
    <t>정기점검실행목록</t>
    <phoneticPr fontId="1" type="noConversion"/>
  </si>
  <si>
    <t>정기점검실행상세</t>
    <phoneticPr fontId="1" type="noConversion"/>
  </si>
  <si>
    <t>정기점검실행(월간)</t>
    <phoneticPr fontId="1" type="noConversion"/>
  </si>
  <si>
    <t>ITEMNO</t>
  </si>
  <si>
    <t>VENDORDESC</t>
  </si>
  <si>
    <t>UPDDATE</t>
  </si>
  <si>
    <t>UPDBY</t>
  </si>
  <si>
    <t>CREDATE</t>
  </si>
  <si>
    <t>CREBY</t>
  </si>
  <si>
    <t>280</t>
  </si>
  <si>
    <t>290</t>
  </si>
  <si>
    <t>300</t>
  </si>
  <si>
    <t>310</t>
  </si>
  <si>
    <t>거래처</t>
  </si>
  <si>
    <t>수정시간</t>
  </si>
  <si>
    <t>수정자</t>
  </si>
  <si>
    <t>생성시간</t>
  </si>
  <si>
    <t>생성자</t>
  </si>
  <si>
    <t>120</t>
  </si>
  <si>
    <t>350</t>
  </si>
  <si>
    <t>400</t>
  </si>
  <si>
    <t>right</t>
  </si>
  <si>
    <t>datero</t>
    <phoneticPr fontId="1" type="noConversion"/>
  </si>
  <si>
    <t>vendor</t>
  </si>
  <si>
    <t>3.00</t>
    <phoneticPr fontId="1" type="noConversion"/>
  </si>
  <si>
    <t>STARTDATE</t>
    <phoneticPr fontId="1" type="noConversion"/>
  </si>
  <si>
    <t>STARTTIME</t>
    <phoneticPr fontId="1" type="noConversion"/>
  </si>
  <si>
    <t>ENDDATE</t>
    <phoneticPr fontId="1" type="noConversion"/>
  </si>
  <si>
    <t>ENDTIME</t>
    <phoneticPr fontId="1" type="noConversion"/>
  </si>
  <si>
    <t>점검시작일자</t>
    <phoneticPr fontId="1" type="noConversion"/>
  </si>
  <si>
    <t>점검시작시간</t>
    <phoneticPr fontId="1" type="noConversion"/>
  </si>
  <si>
    <t>점검종료일자</t>
    <phoneticPr fontId="1" type="noConversion"/>
  </si>
  <si>
    <t>점검종료시간</t>
    <phoneticPr fontId="1" type="noConversion"/>
  </si>
  <si>
    <t>center</t>
    <phoneticPr fontId="1" type="noConversion"/>
  </si>
  <si>
    <t>320</t>
  </si>
  <si>
    <t>330</t>
  </si>
  <si>
    <t>340</t>
  </si>
  <si>
    <t>pmiFromTime</t>
    <phoneticPr fontId="1" type="noConversion"/>
  </si>
  <si>
    <t>timero</t>
    <phoneticPr fontId="1" type="noConversion"/>
  </si>
  <si>
    <t>pmiInitWrkDate</t>
    <phoneticPr fontId="1" type="noConversion"/>
  </si>
  <si>
    <t>pmieEndDate</t>
    <phoneticPr fontId="1" type="noConversion"/>
  </si>
  <si>
    <t>pmiToTime</t>
    <phoneticPr fontId="1" type="noConversion"/>
  </si>
  <si>
    <t>DESCRIPTION</t>
  </si>
  <si>
    <t>WKOR_DATE</t>
  </si>
  <si>
    <t>MEASURE_TIME</t>
  </si>
  <si>
    <t>TAEQUIPMENT</t>
  </si>
  <si>
    <t>ITEM_NO</t>
  </si>
  <si>
    <t>TAEQLOC</t>
  </si>
  <si>
    <t>FULL_DESC</t>
  </si>
  <si>
    <t>PLANTDESC</t>
    <phoneticPr fontId="1" type="noConversion"/>
  </si>
  <si>
    <t>공장</t>
    <phoneticPr fontId="1" type="noConversion"/>
  </si>
  <si>
    <t>360</t>
  </si>
  <si>
    <t>plant</t>
    <phoneticPr fontId="1" type="noConversion"/>
  </si>
  <si>
    <t>PM_TYPE</t>
  </si>
  <si>
    <t>PLANT</t>
  </si>
  <si>
    <t>TADEPT</t>
  </si>
  <si>
    <t>TAEMP</t>
  </si>
  <si>
    <t>EMP_NAME</t>
  </si>
  <si>
    <t>TAVENDOR</t>
  </si>
  <si>
    <t>SHIFT_TYPE</t>
  </si>
  <si>
    <t>PMSCHED_STATUS</t>
  </si>
  <si>
    <t>START_DATE</t>
  </si>
  <si>
    <t>START_TIME</t>
  </si>
  <si>
    <t>END_DATE</t>
  </si>
  <si>
    <t>END_TIME</t>
  </si>
  <si>
    <t>WORK_TIME</t>
  </si>
  <si>
    <t>UPD_DATE</t>
  </si>
  <si>
    <t>TAUSER</t>
  </si>
  <si>
    <t>USER_NAME</t>
  </si>
  <si>
    <t>CRE_DATE</t>
  </si>
  <si>
    <t>120</t>
    <phoneticPr fontId="1" type="noConversion"/>
  </si>
  <si>
    <t>100</t>
    <phoneticPr fontId="1" type="noConversion"/>
  </si>
  <si>
    <t>300</t>
    <phoneticPr fontId="1" type="noConversion"/>
  </si>
  <si>
    <t>workPmiCommonDTO.filterStartDate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</si>
</sst>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3"/>
      <charset val="129"/>
    </font>
    <font>
      <sz val="10"/>
      <color rgb="FF00000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3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1">
      <alignment vertical="center"/>
    </xf>
    <xf numFmtId="0" fontId="5" fillId="3" borderId="1" xfId="1" applyFont="1" applyFill="1" applyBorder="1" applyAlignment="1"/>
    <xf numFmtId="0" fontId="5" fillId="3" borderId="1" xfId="1" applyFont="1" applyFill="1" applyBorder="1" applyAlignment="1">
      <alignment wrapText="1"/>
    </xf>
    <xf numFmtId="0" fontId="5" fillId="3" borderId="1" xfId="1" quotePrefix="1" applyFont="1" applyFill="1" applyBorder="1" applyAlignment="1"/>
    <xf numFmtId="0" fontId="5" fillId="3" borderId="2" xfId="1" quotePrefix="1" applyFont="1" applyFill="1" applyBorder="1" applyAlignment="1"/>
    <xf numFmtId="0" fontId="5" fillId="3" borderId="2" xfId="1" applyFont="1" applyFill="1" applyBorder="1" applyAlignment="1"/>
    <xf numFmtId="0" fontId="5" fillId="3" borderId="1" xfId="2" applyFont="1" applyFill="1" applyBorder="1"/>
    <xf numFmtId="0" fontId="6" fillId="3" borderId="1" xfId="2" applyFont="1" applyFill="1" applyBorder="1" applyAlignment="1">
      <alignment vertical="center"/>
    </xf>
    <xf numFmtId="0" fontId="6" fillId="3" borderId="1" xfId="1" applyFont="1" applyFill="1" applyBorder="1">
      <alignment vertical="center"/>
    </xf>
    <xf numFmtId="0" fontId="5" fillId="3" borderId="3" xfId="1" quotePrefix="1" applyFont="1" applyFill="1" applyBorder="1" applyAlignment="1"/>
    <xf numFmtId="0" fontId="2" fillId="0" borderId="1" xfId="1" applyBorder="1">
      <alignment vertical="center"/>
    </xf>
    <xf numFmtId="0" fontId="9" fillId="0" borderId="0" xfId="0" applyFont="1" applyAlignment="1"/>
    <xf numFmtId="0" fontId="0" fillId="0" borderId="0" xfId="0" applyAlignment="1"/>
    <xf numFmtId="0" fontId="0" fillId="0" borderId="1" xfId="0" applyBorder="1" applyAlignment="1"/>
    <xf numFmtId="0" fontId="0" fillId="0" borderId="1" xfId="0" applyBorder="1">
      <alignment vertical="center"/>
    </xf>
    <xf numFmtId="49" fontId="0" fillId="0" borderId="1" xfId="0" applyNumberFormat="1" applyBorder="1" applyAlignment="1"/>
    <xf numFmtId="49" fontId="0" fillId="0" borderId="1" xfId="0" quotePrefix="1" applyNumberFormat="1" applyBorder="1" applyAlignme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/>
    <xf numFmtId="0" fontId="13" fillId="5" borderId="5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49" fontId="0" fillId="0" borderId="1" xfId="0" quotePrefix="1" applyNumberFormat="1" applyBorder="1">
      <alignment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1" xfId="0" quotePrefix="1" applyFont="1" applyBorder="1" applyAlignment="1"/>
    <xf numFmtId="0" fontId="6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13" fillId="5" borderId="2" xfId="0" applyFont="1" applyFill="1" applyBorder="1" applyAlignment="1">
      <alignment horizontal="center" vertical="top" wrapText="1"/>
    </xf>
    <xf numFmtId="0" fontId="17" fillId="3" borderId="1" xfId="2" applyFont="1" applyFill="1" applyBorder="1" applyAlignment="1">
      <alignment horizontal="center"/>
    </xf>
    <xf numFmtId="0" fontId="18" fillId="3" borderId="1" xfId="2" applyFont="1" applyFill="1" applyBorder="1" applyAlignment="1">
      <alignment horizontal="center"/>
    </xf>
    <xf numFmtId="0" fontId="9" fillId="0" borderId="0" xfId="2" applyFont="1"/>
    <xf numFmtId="0" fontId="9" fillId="0" borderId="1" xfId="2" applyFont="1" applyBorder="1" applyAlignment="1">
      <alignment vertical="center"/>
    </xf>
    <xf numFmtId="14" fontId="9" fillId="0" borderId="1" xfId="2" quotePrefix="1" applyNumberFormat="1" applyFont="1" applyBorder="1" applyAlignment="1">
      <alignment horizontal="center" vertical="center"/>
    </xf>
    <xf numFmtId="0" fontId="19" fillId="0" borderId="1" xfId="2" applyFont="1" applyBorder="1" applyAlignment="1">
      <alignment wrapText="1"/>
    </xf>
    <xf numFmtId="0" fontId="9" fillId="0" borderId="1" xfId="2" applyFont="1" applyBorder="1"/>
    <xf numFmtId="14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20" fillId="0" borderId="1" xfId="0" applyFont="1" applyBorder="1">
      <alignment vertical="center"/>
    </xf>
    <xf numFmtId="0" fontId="21" fillId="0" borderId="1" xfId="0" applyFont="1" applyBorder="1">
      <alignment vertical="center"/>
    </xf>
    <xf numFmtId="0" fontId="0" fillId="8" borderId="0" xfId="0" applyFill="1">
      <alignment vertical="center"/>
    </xf>
    <xf numFmtId="0" fontId="2" fillId="8" borderId="1" xfId="1" applyFill="1" applyBorder="1">
      <alignment vertical="center"/>
    </xf>
    <xf numFmtId="0" fontId="2" fillId="8" borderId="0" xfId="1" applyFill="1">
      <alignment vertical="center"/>
    </xf>
    <xf numFmtId="0" fontId="6" fillId="0" borderId="1" xfId="0" applyFont="1" applyBorder="1">
      <alignment vertical="center"/>
    </xf>
    <xf numFmtId="0" fontId="22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/>
    <xf numFmtId="49" fontId="6" fillId="0" borderId="1" xfId="0" applyNumberFormat="1" applyFont="1" applyBorder="1" applyAlignment="1"/>
    <xf numFmtId="49" fontId="6" fillId="0" borderId="1" xfId="0" quotePrefix="1" applyNumberFormat="1" applyFont="1" applyBorder="1" applyAlignment="1"/>
    <xf numFmtId="0" fontId="6" fillId="8" borderId="1" xfId="0" applyFont="1" applyFill="1" applyBorder="1" applyAlignment="1"/>
    <xf numFmtId="49" fontId="6" fillId="8" borderId="1" xfId="0" applyNumberFormat="1" applyFont="1" applyFill="1" applyBorder="1" applyAlignment="1"/>
    <xf numFmtId="0" fontId="6" fillId="8" borderId="1" xfId="0" applyFont="1" applyFill="1" applyBorder="1">
      <alignment vertical="center"/>
    </xf>
    <xf numFmtId="0" fontId="6" fillId="0" borderId="1" xfId="0" quotePrefix="1" applyFont="1" applyBorder="1">
      <alignment vertical="center"/>
    </xf>
  </cellXfs>
  <cellStyles count="9">
    <cellStyle name="표준" xfId="0" builtinId="0"/>
    <cellStyle name="표준 2" xfId="2" xr:uid="{00000000-0005-0000-0000-000001000000}"/>
    <cellStyle name="표준 2 2" xfId="1" xr:uid="{00000000-0005-0000-0000-000002000000}"/>
    <cellStyle name="표준 2 3" xfId="4" xr:uid="{00000000-0005-0000-0000-000003000000}"/>
    <cellStyle name="표준 2 4" xfId="6" xr:uid="{00000000-0005-0000-0000-000004000000}"/>
    <cellStyle name="표준 2 5" xfId="8" xr:uid="{00000000-0005-0000-0000-000005000000}"/>
    <cellStyle name="표준 3" xfId="3" xr:uid="{00000000-0005-0000-0000-000006000000}"/>
    <cellStyle name="표준 4" xfId="5" xr:uid="{00000000-0005-0000-0000-000007000000}"/>
    <cellStyle name="표준 5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zoomScale="115" zoomScaleNormal="115" workbookViewId="0">
      <pane ySplit="1" topLeftCell="A2" activePane="bottomLeft" state="frozen"/>
      <selection pane="bottomLeft" activeCell="C7" sqref="C7"/>
    </sheetView>
  </sheetViews>
  <sheetFormatPr defaultColWidth="8.75" defaultRowHeight="13.5" x14ac:dyDescent="0.25"/>
  <cols>
    <col min="1" max="1" width="8.5" style="52" customWidth="1"/>
    <col min="2" max="2" width="16.125" style="52" customWidth="1"/>
    <col min="3" max="3" width="67" style="52" customWidth="1"/>
    <col min="4" max="4" width="26.75" style="52" customWidth="1"/>
    <col min="5" max="16384" width="8.75" style="52"/>
  </cols>
  <sheetData>
    <row r="1" spans="1:4" x14ac:dyDescent="0.25">
      <c r="A1" s="50" t="s">
        <v>32</v>
      </c>
      <c r="B1" s="51" t="s">
        <v>31</v>
      </c>
      <c r="C1" s="51" t="s">
        <v>30</v>
      </c>
      <c r="D1" s="51" t="s">
        <v>29</v>
      </c>
    </row>
    <row r="2" spans="1:4" x14ac:dyDescent="0.25">
      <c r="A2" s="53">
        <v>1</v>
      </c>
      <c r="B2" s="54">
        <v>43320</v>
      </c>
      <c r="C2" s="55" t="s">
        <v>366</v>
      </c>
      <c r="D2" s="56"/>
    </row>
    <row r="3" spans="1:4" x14ac:dyDescent="0.25">
      <c r="A3" s="56">
        <v>2</v>
      </c>
      <c r="B3" s="57">
        <v>44725</v>
      </c>
      <c r="C3" s="56" t="s">
        <v>367</v>
      </c>
      <c r="D3" s="56"/>
    </row>
    <row r="4" spans="1:4" x14ac:dyDescent="0.25">
      <c r="A4" s="56"/>
      <c r="B4" s="58"/>
      <c r="C4" s="56"/>
      <c r="D4" s="56"/>
    </row>
    <row r="5" spans="1:4" x14ac:dyDescent="0.25">
      <c r="A5" s="56"/>
      <c r="B5" s="58"/>
      <c r="C5" s="56"/>
      <c r="D5" s="56"/>
    </row>
    <row r="6" spans="1:4" x14ac:dyDescent="0.25">
      <c r="A6" s="56"/>
      <c r="B6" s="58"/>
      <c r="C6" s="56"/>
      <c r="D6" s="56"/>
    </row>
    <row r="7" spans="1:4" x14ac:dyDescent="0.25">
      <c r="A7" s="56"/>
      <c r="B7" s="58"/>
      <c r="C7" s="56"/>
      <c r="D7" s="56"/>
    </row>
    <row r="8" spans="1:4" x14ac:dyDescent="0.25">
      <c r="A8" s="56"/>
      <c r="B8" s="58"/>
      <c r="C8" s="56"/>
      <c r="D8" s="56"/>
    </row>
    <row r="9" spans="1:4" x14ac:dyDescent="0.25">
      <c r="A9" s="56"/>
      <c r="B9" s="58"/>
      <c r="C9" s="56"/>
      <c r="D9" s="56"/>
    </row>
    <row r="10" spans="1:4" x14ac:dyDescent="0.25">
      <c r="A10" s="56"/>
      <c r="B10" s="58"/>
      <c r="C10" s="56"/>
      <c r="D10" s="56"/>
    </row>
    <row r="11" spans="1:4" x14ac:dyDescent="0.25">
      <c r="A11" s="56"/>
      <c r="B11" s="58"/>
      <c r="C11" s="56"/>
      <c r="D11" s="56"/>
    </row>
    <row r="12" spans="1:4" x14ac:dyDescent="0.25">
      <c r="A12" s="56"/>
      <c r="B12" s="58"/>
      <c r="C12" s="56"/>
      <c r="D12" s="56"/>
    </row>
    <row r="13" spans="1:4" x14ac:dyDescent="0.25">
      <c r="A13" s="56"/>
      <c r="B13" s="58"/>
      <c r="C13" s="56"/>
      <c r="D13" s="56"/>
    </row>
    <row r="14" spans="1:4" x14ac:dyDescent="0.25">
      <c r="A14" s="56"/>
      <c r="B14" s="58"/>
      <c r="C14" s="56"/>
      <c r="D14" s="56"/>
    </row>
    <row r="15" spans="1:4" x14ac:dyDescent="0.25">
      <c r="A15" s="56"/>
      <c r="B15" s="58"/>
      <c r="C15" s="56"/>
      <c r="D15" s="56"/>
    </row>
    <row r="16" spans="1:4" x14ac:dyDescent="0.25">
      <c r="A16" s="56"/>
      <c r="B16" s="58"/>
      <c r="C16" s="56"/>
      <c r="D16" s="56"/>
    </row>
    <row r="17" spans="1:4" x14ac:dyDescent="0.25">
      <c r="A17" s="56"/>
      <c r="B17" s="58"/>
      <c r="C17" s="56"/>
      <c r="D17" s="56"/>
    </row>
    <row r="18" spans="1:4" x14ac:dyDescent="0.25">
      <c r="A18" s="56"/>
      <c r="B18" s="58"/>
      <c r="C18" s="56"/>
      <c r="D18" s="56"/>
    </row>
    <row r="19" spans="1:4" x14ac:dyDescent="0.25">
      <c r="A19" s="56"/>
      <c r="B19" s="58"/>
      <c r="C19" s="56"/>
      <c r="D19" s="56"/>
    </row>
    <row r="20" spans="1:4" x14ac:dyDescent="0.25">
      <c r="A20" s="56"/>
      <c r="B20" s="58"/>
      <c r="C20" s="56"/>
      <c r="D20" s="56"/>
    </row>
    <row r="21" spans="1:4" x14ac:dyDescent="0.25">
      <c r="A21" s="56"/>
      <c r="B21" s="58"/>
      <c r="C21" s="56"/>
      <c r="D21" s="56"/>
    </row>
    <row r="22" spans="1:4" x14ac:dyDescent="0.25">
      <c r="A22" s="56"/>
      <c r="B22" s="58"/>
      <c r="C22" s="56"/>
      <c r="D22" s="56"/>
    </row>
    <row r="23" spans="1:4" x14ac:dyDescent="0.25">
      <c r="A23" s="56"/>
      <c r="B23" s="58"/>
      <c r="C23" s="56"/>
      <c r="D23" s="56"/>
    </row>
  </sheetData>
  <autoFilter ref="A1:D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"/>
  <sheetViews>
    <sheetView topLeftCell="L1" zoomScaleNormal="100" workbookViewId="0">
      <selection activeCell="AC2" sqref="AC2"/>
    </sheetView>
  </sheetViews>
  <sheetFormatPr defaultRowHeight="16.5" x14ac:dyDescent="0.3"/>
  <cols>
    <col min="2" max="2" width="10.125" bestFit="1" customWidth="1"/>
    <col min="4" max="4" width="19.375" bestFit="1" customWidth="1"/>
    <col min="5" max="5" width="17.25" bestFit="1" customWidth="1"/>
    <col min="6" max="6" width="16" bestFit="1" customWidth="1"/>
    <col min="8" max="8" width="31.75" bestFit="1" customWidth="1"/>
    <col min="12" max="12" width="12.125" bestFit="1" customWidth="1"/>
  </cols>
  <sheetData>
    <row r="1" spans="1:42" s="12" customFormat="1" ht="82.5" x14ac:dyDescent="0.25">
      <c r="A1" s="18" t="s">
        <v>162</v>
      </c>
      <c r="B1" s="18" t="s">
        <v>163</v>
      </c>
      <c r="C1" s="18" t="s">
        <v>164</v>
      </c>
      <c r="D1" s="18" t="s">
        <v>165</v>
      </c>
      <c r="E1" s="19" t="s">
        <v>166</v>
      </c>
      <c r="F1" s="19" t="s">
        <v>167</v>
      </c>
      <c r="G1" s="19" t="s">
        <v>168</v>
      </c>
      <c r="H1" s="18" t="s">
        <v>169</v>
      </c>
      <c r="I1" s="18" t="s">
        <v>170</v>
      </c>
      <c r="J1" s="18" t="s">
        <v>171</v>
      </c>
      <c r="K1" s="18" t="s">
        <v>172</v>
      </c>
      <c r="L1" s="18" t="s">
        <v>173</v>
      </c>
      <c r="M1" s="18" t="s">
        <v>174</v>
      </c>
      <c r="N1" s="18" t="s">
        <v>34</v>
      </c>
      <c r="O1" s="18" t="s">
        <v>175</v>
      </c>
      <c r="P1"/>
      <c r="Q1" s="21" t="s">
        <v>176</v>
      </c>
      <c r="R1" s="22" t="s">
        <v>177</v>
      </c>
      <c r="S1" s="22" t="s">
        <v>315</v>
      </c>
      <c r="T1" s="22" t="s">
        <v>316</v>
      </c>
      <c r="U1" s="22" t="s">
        <v>317</v>
      </c>
      <c r="V1" s="22" t="s">
        <v>318</v>
      </c>
      <c r="W1" s="22" t="s">
        <v>319</v>
      </c>
      <c r="X1" s="22" t="s">
        <v>320</v>
      </c>
      <c r="Y1" s="23"/>
      <c r="Z1" s="24" t="s">
        <v>178</v>
      </c>
      <c r="AA1" s="24" t="s">
        <v>179</v>
      </c>
      <c r="AB1" s="46" t="s">
        <v>321</v>
      </c>
      <c r="AC1" s="46" t="s">
        <v>322</v>
      </c>
      <c r="AD1" s="46" t="s">
        <v>323</v>
      </c>
      <c r="AE1" s="46" t="s">
        <v>324</v>
      </c>
      <c r="AF1" s="46" t="s">
        <v>325</v>
      </c>
      <c r="AG1" s="46" t="s">
        <v>326</v>
      </c>
      <c r="AH1" s="23"/>
      <c r="AI1" s="25" t="s">
        <v>180</v>
      </c>
      <c r="AJ1" s="26" t="s">
        <v>181</v>
      </c>
      <c r="AK1" s="23"/>
      <c r="AL1" s="25" t="s">
        <v>182</v>
      </c>
      <c r="AM1" s="25" t="s">
        <v>327</v>
      </c>
      <c r="AN1" s="26" t="s">
        <v>183</v>
      </c>
      <c r="AO1" s="26" t="s">
        <v>328</v>
      </c>
      <c r="AP1"/>
    </row>
    <row r="2" spans="1:42" x14ac:dyDescent="0.2">
      <c r="A2" s="15">
        <v>1</v>
      </c>
      <c r="B2" s="15" t="s">
        <v>355</v>
      </c>
      <c r="C2" s="15" t="s">
        <v>296</v>
      </c>
      <c r="D2" s="15" t="s">
        <v>344</v>
      </c>
      <c r="E2" s="15" t="s">
        <v>381</v>
      </c>
      <c r="F2" s="15" t="s">
        <v>311</v>
      </c>
      <c r="G2" s="15"/>
      <c r="H2" s="15" t="s">
        <v>381</v>
      </c>
      <c r="I2" s="15" t="s">
        <v>297</v>
      </c>
      <c r="J2" s="15" t="s">
        <v>38</v>
      </c>
      <c r="K2" s="15" t="s">
        <v>41</v>
      </c>
      <c r="L2" s="15" t="s">
        <v>42</v>
      </c>
      <c r="M2" s="15" t="s">
        <v>2</v>
      </c>
      <c r="N2" s="44" t="s">
        <v>298</v>
      </c>
      <c r="O2" s="45" t="s">
        <v>299</v>
      </c>
      <c r="Q2" s="15" t="str">
        <f t="shared" ref="Q2" si="0">" insert into tapage(page_id, file_name, description, remark, is_use, is_chkauth, page_type, service_type, key_type, key_no, menu_no, site_type, version_info, basic_key_type, basic_key_no, cre_date, upd_date) values(sqapage_id.nextval, '"&amp;D2&amp;"','"&amp;E2&amp;"','"&amp;H2&amp;"','"&amp;I2&amp;"','"&amp;J2&amp;"','"&amp;C2&amp;"','"&amp;M2&amp;"','"&amp;K2&amp;"','"&amp;L2&amp;"','"&amp;B2&amp;"','"&amp;N2&amp;"','"&amp;O2&amp;"','"&amp;K2&amp;"','"&amp;L2&amp;"',to_char(sysdate,'yyyymmddhh24miss'),to_char(sysdate,'yyyymmddhh24miss')); "</f>
        <v xml:space="preserve"> insert into tapage(page_id, file_name, description, remark, is_use, is_chkauth, page_type, service_type, key_type, key_no, menu_no, site_type, version_info, basic_key_type, basic_key_no, cre_date, upd_date) values(sqapage_id.nextval, 'workPmiList','정기점검실행목록','정기점검실행목록','Y','Y','ML','WEB','PAGE','workPmiList','AP591','DREAM','2.00','PAGE','workPmiList',to_char(sysdate,'yyyymmddhh24miss'),to_char(sysdate,'yyyymmddhh24miss')); </v>
      </c>
      <c r="R2" s="15" t="str">
        <f t="shared" ref="R2" si="1">" update tapage set description='"&amp;E2&amp;"',remark='"&amp;H2&amp;"',is_use='"&amp;I2&amp;"',is_chkauth='"&amp;J2&amp;"',page_type='"&amp;C2&amp;"',service_type='"&amp;M2&amp;"',key_type='"&amp;K2&amp;"',key_no='"&amp;L2&amp;"',menu_no='"&amp;B2&amp;"',site_type='"&amp;N2&amp;"',version_info='"&amp;O2&amp;"',basic_key_type='"&amp;K2&amp;"',basic_key_no='"&amp;L2&amp;"',upd_date=to_char(sysdate,'yyyymmddhh24miss') where file_name =  '"&amp;D2&amp;"' ; "</f>
        <v xml:space="preserve"> update tapage set description='정기점검실행목록',remark='정기점검실행목록',is_use='Y',is_chkauth='Y',page_type='ML',service_type='WEB',key_type='PAGE',key_no='workPmiList',menu_no='AP591',site_type='DREAM',version_info='2.00',basic_key_type='PAGE',basic_key_no='workPmiList',upd_date=to_char(sysdate,'yyyymmddhh24miss') where file_name =  'workPmiList' ; </v>
      </c>
      <c r="S2" s="15" t="str">
        <f>" insert into talang(lang_id, lang, key_type, key_no, key_name, upd_date,is_comm_js_use, use_web, use_android, cre_date, site_type, version_info, basic_key_name) values(sqalang_id.nextval, 'ko','"&amp;K2&amp;"','"&amp;L2&amp;"','"&amp;E2&amp;"',to_char(sysdate,'yyyymmdd'),'N','Y','N',to_char(sysdate,'yyyymmddhh24miss'),'"&amp;N2&amp;"','"&amp;O2&amp;"','"&amp;E2&amp;"'); "</f>
        <v xml:space="preserve"> insert into talang(lang_id, lang, key_type, key_no, key_name, upd_date,is_comm_js_use, use_web, use_android, cre_date, site_type, version_info, basic_key_name) values(sqalang_id.nextval, 'ko','PAGE','workPmiList','정기점검실행목록',to_char(sysdate,'yyyymmdd'),'N','Y','N',to_char(sysdate,'yyyymmddhh24miss'),'DREAM','2.00','정기점검실행목록'); </v>
      </c>
      <c r="T2" s="15" t="str">
        <f>" update talang set key_name = '"&amp;E2&amp;"', basic_key_name = '"&amp;E2&amp;"',is_comm_js_use = 'N',site_type = '"&amp;N2&amp;"', use_web = '"&amp;I2&amp;"',  version_info = '"&amp;O2&amp;"',  upd_date = to_char(sysdate,'yyyymmdd')  where lang = 'ko' and key_type =  '"&amp;K2&amp;"' and key_no =  '"&amp;L2&amp;"' ;  "</f>
        <v xml:space="preserve"> update talang set key_name = '정기점검실행목록', basic_key_name = '정기점검실행목록',is_comm_js_use = 'N',site_type = 'DREAM', use_web = 'Y',  version_info = '2.00',  upd_date = to_char(sysdate,'yyyymmdd')  where lang = 'ko' and key_type =  'PAGE' and key_no =  'workPmiList' ;  </v>
      </c>
      <c r="U2" s="15" t="str">
        <f>" insert into talang(lang_id, lang, key_type, key_no, key_name, upd_date,is_comm_js_use, use_web, use_android, cre_date, site_type, version_info, basic_key_name) values(sqalang_id.nextval, 'en','"&amp;K2&amp;"','"&amp;L2&amp;"','"&amp;F2&amp;"',to_char(sysdate,'yyyymmdd'),'N','Y','N',to_char(sysdate,'yyymmddhh24miss'),'"&amp;N2&amp;"','"&amp;O2&amp;"','"&amp;F2&amp;"'); "</f>
        <v xml:space="preserve"> insert into talang(lang_id, lang, key_type, key_no, key_name, upd_date,is_comm_js_use, use_web, use_android, cre_date, site_type, version_info, basic_key_name) values(sqalang_id.nextval, 'en','PAGE','workPmiList','PMI Execute List',to_char(sysdate,'yyyymmdd'),'N','Y','N',to_char(sysdate,'yyymmddhh24miss'),'DREAM','2.00','PMI Execute List'); </v>
      </c>
      <c r="V2" s="15" t="str">
        <f>" update talang set key_name = '"&amp;F2&amp;"', basic_key_name = '"&amp;F2&amp;"',is_comm_js_use = 'N',site_type = '"&amp;N2&amp;"', use_web = '"&amp;I2&amp;"',  version_info = '"&amp;O2&amp;"',  upd_date =to_char(sysdate,'yyyymmdd') where lang = 'en' and key_type =  '"&amp;K2&amp;"' and key_no =  '"&amp;L2&amp;"' ;  "</f>
        <v xml:space="preserve"> update talang set key_name = 'PMI Execute List', basic_key_name = 'PMI Execute List',is_comm_js_use = 'N',site_type = 'DREAM', use_web = 'Y',  version_info = '2.00',  upd_date =to_char(sysdate,'yyyymmdd') where lang = 'en' and key_type =  'PAGE' and key_no =  'workPmiList' ;  </v>
      </c>
      <c r="W2" s="15" t="str">
        <f>" insert into talang(lang_id, lang, key_type, key_no, key_name, upd_date,is_comm_js_use, use_web, use_android, cre_date, site_type, version_info, basic_key_name) values(sqalang_id.nextval, 'cn','"&amp;K2&amp;"','"&amp;L2&amp;"','"&amp;G2&amp;"',to_char(sysdate,'yyyymmdd'),'N','Y','N',to_char(sysdate,'yyymmddhh24miss'),'"&amp;N2&amp;"','"&amp;O2&amp;"','"&amp;G2&amp;"'); "</f>
        <v xml:space="preserve"> insert into talang(lang_id, lang, key_type, key_no, key_name, upd_date,is_comm_js_use, use_web, use_android, cre_date, site_type, version_info, basic_key_name) values(sqalang_id.nextval, 'cn','PAGE','workPmiList','',to_char(sysdate,'yyyymmdd'),'N','Y','N',to_char(sysdate,'yyymmddhh24miss'),'DREAM','2.00',''); </v>
      </c>
      <c r="X2" s="15" t="str">
        <f>" update talang set key_name = '"&amp;G2&amp;"', basic_key_name = '"&amp;G2&amp;"',is_comm_js_use = 'N',site_type = '"&amp;N2&amp;"', use_web = '"&amp;I2&amp;"',  version_info = '"&amp;O2&amp;"',  upd_date =to_char(sysdate,'yyyymmdd') where lang = 'cn' and key_type =  '"&amp;K2&amp;"' and key_no =  '"&amp;L2&amp;"' ;  "</f>
        <v xml:space="preserve"> update talang set key_name = '', basic_key_name = '',is_comm_js_use = 'N',site_type = 'DREAM', use_web = 'Y',  version_info = '2.00',  upd_date =to_char(sysdate,'yyyymmdd') where lang = 'cn' and key_type =  'PAGE' and key_no =  'workPmiList' ;  </v>
      </c>
      <c r="Y2" t="s">
        <v>33</v>
      </c>
      <c r="Z2" s="15" t="str">
        <f t="shared" ref="Z2" si="2">" insert into tapage(page_id, file_name, description, remark, is_use, is_chkauth, page_type, service_type, key_type, key_no, menu_no, site_type, version_info, basic_key_type, basic_key_no, cre_date, upd_date) values(next value for sqapage_id, replace('"&amp;D2&amp;"',' ',''), replace('"&amp;E2&amp;"',' ',''), replace('"&amp;H2&amp;"',' ',''), replace('"&amp;I2&amp;"',' ',''), replace('"&amp;J2&amp;"',' ',''), replace('"&amp;C2&amp;"',' ',''), replace('"&amp;M2&amp;"',' ',''), replace('"&amp;K2&amp;"',' ',''), replace('"&amp;L2&amp;"',' ',''), replace('"&amp;B2&amp;"',' ',''), replace('"&amp;N2&amp;"',' ',''), replace('"&amp;O2&amp;"',' ',''), replace('"&amp;K2&amp;"',' ',''), replace('"&amp;L2&amp;"',' ',''), CONVERT(CHAR(8),GETDATE(),112)+REPLACE(CONVERT(CHAR(8),GETDATE(),108),':',''),CONVERT(CHAR(8),GETDATE(),112)+REPLACE(CONVERT(CHAR(8),GETDATE(),108),':','')); "</f>
        <v xml:space="preserve"> insert into tapage(page_id, file_name, description, remark, is_use, is_chkauth, page_type, service_type, key_type, key_no, menu_no, site_type, version_info, basic_key_type, basic_key_no, cre_date, upd_date) values(next value for sqapage_id, replace('workPmiList',' ',''), replace('정기점검실행목록',' ',''), replace('정기점검실행목록',' ',''), replace('Y',' ',''), replace('Y',' ',''), replace('ML',' ',''), replace('WEB',' ',''), replace('PAGE',' ',''), replace('workPmiList',' ',''), replace('AP591',' ',''), replace('DREAM',' ',''), replace('2.00',' ',''), replace('PAGE',' ',''), replace('workPmiList',' ',''), CONVERT(CHAR(8),GETDATE(),112)+REPLACE(CONVERT(CHAR(8),GETDATE(),108),':',''),CONVERT(CHAR(8),GETDATE(),112)+REPLACE(CONVERT(CHAR(8),GETDATE(),108),':','')); </v>
      </c>
      <c r="AA2" s="15" t="str">
        <f>" update tapage set description='"&amp;E2&amp;"',remark='"&amp;H2&amp;"',is_use='"&amp;I2&amp;"',is_chkauth='"&amp;J2&amp;"',page_type='"&amp;C2&amp;"',service_type='"&amp;M2&amp;"',key_type='"&amp;K2&amp;"',key_no='"&amp;L2&amp;"',menu_no='"&amp;B2&amp;"',site_type='"&amp;N2&amp;"',version_info='"&amp;O2&amp;"',basic_key_type='"&amp;K2&amp;"',basic_key_no='"&amp;L2&amp;"',upd_date=CONVERT(CHAR(8),GETDATE(),112)+REPLACE(CONVERT(CHAR(8),GETDATE(),108),':','') where file_name =  '"&amp;D2&amp;"' ; "</f>
        <v xml:space="preserve"> update tapage set description='정기점검실행목록',remark='정기점검실행목록',is_use='Y',is_chkauth='Y',page_type='ML',service_type='WEB',key_type='PAGE',key_no='workPmiList',menu_no='AP591',site_type='DREAM',version_info='2.00',basic_key_type='PAGE',basic_key_no='workPmiList',upd_date=CONVERT(CHAR(8),GETDATE(),112)+REPLACE(CONVERT(CHAR(8),GETDATE(),108),':','') where file_name =  'workPmiList' ; </v>
      </c>
      <c r="AB2" s="15" t="str">
        <f t="shared" ref="AB2" si="3">" insert into talang(lang_id, lang, key_type, key_no, key_name, upd_date,is_comm_js_use, use_web, use_android, cre_date, site_type, version_info, basic_key_name) values(next value for sqalang_id, 'ko', replace('"&amp;K2&amp;"',' ',''), replace('"&amp;L2&amp;"',' ',''), '"&amp;E2&amp;"', CONVERT(CHAR(8),GETDATE(),112)+REPLACE(CONVERT(CHAR(8),GETDATE(),108),':',''),'N','Y','N',CONVERT(CHAR(8),GETDATE(),112)+REPLACE(CONVERT(CHAR(8),GETDATE(),108),':',''),replace('"&amp;N2&amp;"',' ',''), replace('"&amp;O2&amp;"',' ',''), '"&amp;E2&amp;"'); "</f>
        <v xml:space="preserve"> insert into talang(lang_id, lang, key_type, key_no, key_name, upd_date,is_comm_js_use, use_web, use_android, cre_date, site_type, version_info, basic_key_name) values(next value for sqalang_id, 'ko', replace('PAGE',' ',''), replace('workPmiList',' ',''), '정기점검실행목록', CONVERT(CHAR(8),GETDATE(),112)+REPLACE(CONVERT(CHAR(8),GETDATE(),108),':',''),'N','Y','N',CONVERT(CHAR(8),GETDATE(),112)+REPLACE(CONVERT(CHAR(8),GETDATE(),108),':',''),replace('DREAM',' ',''), replace('2.00',' ',''), '정기점검실행목록'); </v>
      </c>
      <c r="AC2" s="15" t="str">
        <f>" update talang set key_name = '"&amp;E2&amp;"', basic_key_name = '"&amp;E2&amp;"',is_comm_js_use = 'N',site_type = '"&amp;N2&amp;"', use_web = '"&amp;I2&amp;"',  version_info = '"&amp;O2&amp;"',  upd_date = CONVERT(CHAR(8),GETDATE(),112)+REPLACE(CONVERT(CHAR(8),GETDATE(),108),':','')  where lang = 'ko' and key_type =  '"&amp;K2&amp;"' and key_no =  '"&amp;L2&amp;"' ;  "</f>
        <v xml:space="preserve"> update talang set key_name = '정기점검실행목록', basic_key_name = '정기점검실행목록',is_comm_js_use = 'N',site_type = 'DREAM', use_web = 'Y',  version_info = '2.00',  upd_date = CONVERT(CHAR(8),GETDATE(),112)+REPLACE(CONVERT(CHAR(8),GETDATE(),108),':','')  where lang = 'ko' and key_type =  'PAGE' and key_no =  'workPmiList' ;  </v>
      </c>
      <c r="AD2" s="15" t="str">
        <f>" insert into talang(lang_id, lang, key_type, key_no, key_name, upd_date,is_comm_js_use, use_web, use_android, cre_date, site_type, version_info, basic_key_name) values(next value for sqalang_id, 'en', replace('"&amp;K2&amp;"',' ',''), replace('"&amp;L2&amp;"',' ',''), '"&amp;F2&amp;"', CONVERT(CHAR(8),GETDATE(),112)+REPLACE(CONVERT(CHAR(8),GETDATE(),108),':',''),'N','Y','N',CONVERT(CHAR(8),GETDATE(),112)+REPLACE(CONVERT(CHAR(8),GETDATE(),108),':',''),replace('"&amp;N2&amp;"',' ',''), replace('"&amp;O2&amp;"',' ',''), '"&amp;F2&amp;"'); "</f>
        <v xml:space="preserve"> insert into talang(lang_id, lang, key_type, key_no, key_name, upd_date,is_comm_js_use, use_web, use_android, cre_date, site_type, version_info, basic_key_name) values(next value for sqalang_id, 'en', replace('PAGE',' ',''), replace('workPmiList',' ',''), 'PMI Execute List', CONVERT(CHAR(8),GETDATE(),112)+REPLACE(CONVERT(CHAR(8),GETDATE(),108),':',''),'N','Y','N',CONVERT(CHAR(8),GETDATE(),112)+REPLACE(CONVERT(CHAR(8),GETDATE(),108),':',''),replace('DREAM',' ',''), replace('2.00',' ',''), 'PMI Execute List'); </v>
      </c>
      <c r="AE2" s="15" t="str">
        <f>" update talang set key_name = '"&amp;F2&amp;"', basic_key_name = '"&amp;F2&amp;"',is_comm_js_use = 'N',site_type = '"&amp;N2&amp;"', use_web = '"&amp;I2&amp;"',  version_info = '"&amp;O2&amp;"',  upd_date = CONVERT(CHAR(8),GETDATE(),112)+REPLACE(CONVERT(CHAR(8),GETDATE(),108),':','')  where lang = 'en' and key_type =  '"&amp;K2&amp;"' and key_no =  '"&amp;L2&amp;"' ;  "</f>
        <v xml:space="preserve"> update talang set key_name = 'PMI Execute List', basic_key_name = 'PMI Execute List',is_comm_js_use = 'N',site_type = 'DREAM', use_web = 'Y',  version_info = '2.00',  upd_date = CONVERT(CHAR(8),GETDATE(),112)+REPLACE(CONVERT(CHAR(8),GETDATE(),108),':','')  where lang = 'en' and key_type =  'PAGE' and key_no =  'workPmiList' ;  </v>
      </c>
      <c r="AF2" s="15" t="str">
        <f>" insert into talang(lang_id, lang, key_type, key_no, key_name, upd_date,is_comm_js_use, use_web, use_android, cre_date, site_type, version_info, basic_key_name) values(next value for sqalang_id, 'cn', replace('"&amp;K2&amp;"',' ',''), replace('"&amp;L2&amp;"',' ',''), '"&amp;G2&amp;"', CONVERT(CHAR(8),GETDATE(),112)+REPLACE(CONVERT(CHAR(8),GETDATE(),108),':',''),'N','Y','N',CONVERT(CHAR(8),GETDATE(),112)+REPLACE(CONVERT(CHAR(8),GETDATE(),108),':',''),replace('"&amp;N2&amp;"',' ',''), replace('"&amp;O2&amp;"',' ',''), '"&amp;G2&amp;"'); "</f>
        <v xml:space="preserve"> insert into talang(lang_id, lang, key_type, key_no, key_name, upd_date,is_comm_js_use, use_web, use_android, cre_date, site_type, version_info, basic_key_name) values(next value for sqalang_id, 'cn', replace('PAGE',' ',''), replace('workPmiList',' ',''), '', CONVERT(CHAR(8),GETDATE(),112)+REPLACE(CONVERT(CHAR(8),GETDATE(),108),':',''),'N','Y','N',CONVERT(CHAR(8),GETDATE(),112)+REPLACE(CONVERT(CHAR(8),GETDATE(),108),':',''),replace('DREAM',' ',''), replace('2.00',' ',''), ''); </v>
      </c>
      <c r="AG2" s="15" t="str">
        <f>" update talang set key_name = '"&amp;G2&amp;"', basic_key_name = '"&amp;G2&amp;"',is_comm_js_use = 'N',site_type = '"&amp;N2&amp;"', use_web = '"&amp;I2&amp;"',  version_info = '"&amp;O2&amp;"',  upd_date = CONVERT(CHAR(8),GETDATE(),112)+REPLACE(CONVERT(CHAR(8),GETDATE(),108),':','')  where lang = 'cn' and key_type =  '"&amp;K2&amp;"' and key_no =  '"&amp;L2&amp;"' ;  "</f>
        <v xml:space="preserve"> update talang set key_name = '', basic_key_name = '',is_comm_js_use = 'N',site_type = 'DREAM', use_web = 'Y',  version_info = '2.00',  upd_date = CONVERT(CHAR(8),GETDATE(),112)+REPLACE(CONVERT(CHAR(8),GETDATE(),108),':','')  where lang = 'cn' and key_type =  'PAGE' and key_no =  'workPmiList' ;  </v>
      </c>
      <c r="AH2" t="s">
        <v>33</v>
      </c>
      <c r="AI2" s="15" t="str">
        <f t="shared" ref="AI2" si="4">" insert into tapage(page_id, file_name, description, remark, is_use, is_chkauth, page_type, service_type, key_type, key_no, menu_no, site_type, version_info, basic_key_type, basic_key_no, cre_date, upd_date) values(sqapage_id.nextval, '"&amp;D2&amp;"','"&amp;E2&amp;"','"&amp;H2&amp;"', 'N' ,'"&amp;J2&amp;"','"&amp;C2&amp;"','"&amp;M2&amp;"','"&amp;K2&amp;"','"&amp;L2&amp;"','"&amp;B2&amp;"','"&amp;N2&amp;"','"&amp;O2&amp;"','"&amp;K2&amp;"','"&amp;L2&amp;"',to_char(sysdate,'yyyymmddhh24miss'),to_char(sysdate,'yyyymmddhh24miss')); "</f>
        <v xml:space="preserve"> insert into tapage(page_id, file_name, description, remark, is_use, is_chkauth, page_type, service_type, key_type, key_no, menu_no, site_type, version_info, basic_key_type, basic_key_no, cre_date, upd_date) values(sqapage_id.nextval, 'workPmiList','정기점검실행목록','정기점검실행목록', 'N' ,'Y','ML','WEB','PAGE','workPmiList','AP591','DREAM','2.00','PAGE','workPmiList',to_char(sysdate,'yyyymmddhh24miss'),to_char(sysdate,'yyyymmddhh24miss')); </v>
      </c>
      <c r="AJ2" s="15" t="str">
        <f t="shared" ref="AJ2" si="5">" insert into tapage(page_id, file_name, description, remark, is_use, is_chkauth, page_type, service_type, key_type, key_no, menu_no, site_type, version_info, basic_key_type, basic_key_no, cre_date, upd_date) values(next value for sqapage_id, '"&amp;D2&amp;"','"&amp;E2&amp;"','"&amp;H2&amp;"', 'N' ,'"&amp;J2&amp;"','"&amp;C2&amp;"','"&amp;M2&amp;"','"&amp;K2&amp;"','"&amp;L2&amp;"','"&amp;B2&amp;"','"&amp;N2&amp;"','"&amp;O2&amp;"','"&amp;K2&amp;"','"&amp;L2&amp;"',CONVERT(CHAR(8),GETDATE(),112)+REPLACE(CONVERT(CHAR(8),GETDATE(),108),':',''),CONVERT(CHAR(8),GETDATE(),112)+REPLACE(CONVERT(CHAR(8),GETDATE(),108),':','')); "</f>
        <v xml:space="preserve"> insert into tapage(page_id, file_name, description, remark, is_use, is_chkauth, page_type, service_type, key_type, key_no, menu_no, site_type, version_info, basic_key_type, basic_key_no, cre_date, upd_date) values(next value for sqapage_id, 'workPmiList','정기점검실행목록','정기점검실행목록', 'N' ,'Y','ML','WEB','PAGE','workPmiList','AP591','DREAM','2.00','PAGE','workPmiList',CONVERT(CHAR(8),GETDATE(),112)+REPLACE(CONVERT(CHAR(8),GETDATE(),108),':',''),CONVERT(CHAR(8),GETDATE(),112)+REPLACE(CONVERT(CHAR(8),GETDATE(),108),':','')); </v>
      </c>
      <c r="AK2" t="s">
        <v>33</v>
      </c>
      <c r="AL2" s="15" t="str">
        <f t="shared" ref="AL2" si="6">" insert into tapage(page_id, file_name, description, remark, is_use, is_chkauth, page_type, service_type, key_type, key_no, menu_no, site_type, version_info, basic_key_type, basic_key_no, cre_date, upd_date) values(sqapage_id.nextval, '"&amp;D2&amp;"','"&amp;E2&amp;"','"&amp;H2&amp;"', 'Y' ,'"&amp;J2&amp;"','"&amp;C2&amp;"','"&amp;M2&amp;"','"&amp;K2&amp;"','"&amp;L2&amp;"','"&amp;B2&amp;"','"&amp;N2&amp;"','"&amp;O2&amp;"','"&amp;K2&amp;"','"&amp;L2&amp;"',to_char(sysdate,'yyyymmddhh24miss'),to_char(sysdate,'yyyymmddhh24miss')); "</f>
        <v xml:space="preserve"> insert into tapage(page_id, file_name, description, remark, is_use, is_chkauth, page_type, service_type, key_type, key_no, menu_no, site_type, version_info, basic_key_type, basic_key_no, cre_date, upd_date) values(sqapage_id.nextval, 'workPmiList','정기점검실행목록','정기점검실행목록', 'Y' ,'Y','ML','WEB','PAGE','workPmiList','AP591','DREAM','2.00','PAGE','workPmiList',to_char(sysdate,'yyyymmddhh24miss'),to_char(sysdate,'yyyymmddhh24miss')); </v>
      </c>
      <c r="AM2" s="15" t="str">
        <f>" update tapage set description='"&amp;E2&amp;"',remark='"&amp;H2&amp;"',is_use='"&amp;I2&amp;"',is_chkauth='"&amp;J2&amp;"',page_type='"&amp;C2&amp;"',service_type='"&amp;M2&amp;"',key_type='"&amp;K2&amp;"',key_no='"&amp;L2&amp;"',menu_no='"&amp;B2&amp;"',site_type='"&amp;N2&amp;"',version_info='"&amp;O2&amp;"',basic_key_type='"&amp;K2&amp;"',basic_key_no='"&amp;L2&amp;"',upd_date=to_char(sysdate,'yyyymmddhh24miss') where file_name =  '"&amp;D2&amp;"' ; "</f>
        <v xml:space="preserve"> update tapage set description='정기점검실행목록',remark='정기점검실행목록',is_use='Y',is_chkauth='Y',page_type='ML',service_type='WEB',key_type='PAGE',key_no='workPmiList',menu_no='AP591',site_type='DREAM',version_info='2.00',basic_key_type='PAGE',basic_key_no='workPmiList',upd_date=to_char(sysdate,'yyyymmddhh24miss') where file_name =  'workPmiList' ; </v>
      </c>
      <c r="AN2" s="15" t="str">
        <f t="shared" ref="AN2" si="7">" insert into tapage(page_id, file_name, description, remark, is_use, is_chkauth, page_type, service_type, key_type, key_no, menu_no, site_type, version_info, basic_key_type, basic_key_no, cre_date, upd_date) values(next value for sqapage_id, '"&amp;D2&amp;"','"&amp;E2&amp;"','"&amp;H2&amp;"', 'Y' ,'"&amp;J2&amp;"','"&amp;C2&amp;"','"&amp;M2&amp;"','"&amp;K2&amp;"','"&amp;L2&amp;"','"&amp;B2&amp;"','"&amp;N2&amp;"','"&amp;O2&amp;"','"&amp;K2&amp;"','"&amp;L2&amp;"',CONVERT(CHAR(8),GETDATE(),112)+REPLACE(CONVERT(CHAR(8),GETDATE(),108),':',''),CONVERT(CHAR(8),GETDATE(),112)+REPLACE(CONVERT(CHAR(8),GETDATE(),108),':','')); "</f>
        <v xml:space="preserve"> insert into tapage(page_id, file_name, description, remark, is_use, is_chkauth, page_type, service_type, key_type, key_no, menu_no, site_type, version_info, basic_key_type, basic_key_no, cre_date, upd_date) values(next value for sqapage_id, 'workPmiList','정기점검실행목록','정기점검실행목록', 'Y' ,'Y','ML','WEB','PAGE','workPmiList','AP591','DREAM','2.00','PAGE','workPmiList',CONVERT(CHAR(8),GETDATE(),112)+REPLACE(CONVERT(CHAR(8),GETDATE(),108),':',''),CONVERT(CHAR(8),GETDATE(),112)+REPLACE(CONVERT(CHAR(8),GETDATE(),108),':','')); </v>
      </c>
      <c r="AO2" s="15" t="str">
        <f>" update tapage set description='"&amp;E2&amp;"',remark='"&amp;H2&amp;"',is_use='"&amp;I2&amp;"',is_chkauth='"&amp;J2&amp;"',page_type='"&amp;C2&amp;"',service_type='"&amp;M2&amp;"',key_type='"&amp;K2&amp;"',key_no='"&amp;L2&amp;"',menu_no='"&amp;B2&amp;"',site_type='"&amp;N2&amp;"',version_info='"&amp;O2&amp;"',basic_key_type='"&amp;K2&amp;"',basic_key_no='"&amp;L2&amp;"',upd_date=CONVERT(CHAR(8),GETDATE(),112)+REPLACE(CONVERT(CHAR(8),GETDATE(),108),':','')  where file_name =  '"&amp;D2&amp;"' ; "</f>
        <v xml:space="preserve"> update tapage set description='정기점검실행목록',remark='정기점검실행목록',is_use='Y',is_chkauth='Y',page_type='ML',service_type='WEB',key_type='PAGE',key_no='workPmiList',menu_no='AP591',site_type='DREAM',version_info='2.00',basic_key_type='PAGE',basic_key_no='workPmiList',upd_date=CONVERT(CHAR(8),GETDATE(),112)+REPLACE(CONVERT(CHAR(8),GETDATE(),108),':','')  where file_name =  'workPmiList' ; </v>
      </c>
      <c r="AP2" t="s">
        <v>33</v>
      </c>
    </row>
    <row r="4" spans="1:42" x14ac:dyDescent="0.2">
      <c r="A4" s="15">
        <v>1</v>
      </c>
      <c r="B4" s="15" t="s">
        <v>355</v>
      </c>
      <c r="C4" s="15" t="s">
        <v>296</v>
      </c>
      <c r="D4" s="15" t="s">
        <v>368</v>
      </c>
      <c r="E4" s="15" t="s">
        <v>381</v>
      </c>
      <c r="F4" s="15" t="s">
        <v>311</v>
      </c>
      <c r="G4" s="15"/>
      <c r="H4" s="15" t="s">
        <v>381</v>
      </c>
      <c r="I4" s="15" t="s">
        <v>297</v>
      </c>
      <c r="J4" s="15" t="s">
        <v>38</v>
      </c>
      <c r="K4" s="15" t="s">
        <v>41</v>
      </c>
      <c r="L4" s="15" t="s">
        <v>368</v>
      </c>
      <c r="M4" s="15" t="s">
        <v>2</v>
      </c>
      <c r="N4" s="44" t="s">
        <v>298</v>
      </c>
      <c r="O4" s="45" t="s">
        <v>299</v>
      </c>
      <c r="Q4" s="59" t="str">
        <f t="shared" ref="Q4" si="8">" insert into tapage(page_id, file_name, description, remark, is_use, is_chkauth, page_type, service_type, key_type, key_no, menu_no, site_type, version_info, basic_key_type, basic_key_no, cre_date, upd_date) values(sqapage_id.nextval, '"&amp;D4&amp;"','"&amp;E4&amp;"','"&amp;H4&amp;"','"&amp;I4&amp;"','"&amp;J4&amp;"','"&amp;C4&amp;"','"&amp;M4&amp;"','"&amp;K4&amp;"','"&amp;L4&amp;"','"&amp;B4&amp;"','"&amp;N4&amp;"','"&amp;O4&amp;"','"&amp;K4&amp;"','"&amp;L4&amp;"',to_char(sysdate,'yyyymmddhh24miss'),to_char(sysdate,'yyyymmddhh24miss')); "</f>
        <v xml:space="preserve"> insert into tapage(page_id, file_name, description, remark, is_use, is_chkauth, page_type, service_type, key_type, key_no, menu_no, site_type, version_info, basic_key_type, basic_key_no, cre_date, upd_date) values(sqapage_id.nextval, 'workPmiListView','정기점검실행목록','정기점검실행목록','Y','Y','ML','WEB','PAGE','workPmiListView','AP591','DREAM','2.00','PAGE','workPmiListView',to_char(sysdate,'yyyymmddhh24miss'),to_char(sysdate,'yyyymmddhh24miss')); </v>
      </c>
      <c r="R4" s="15" t="str">
        <f t="shared" ref="R4" si="9">" update tapage set description='"&amp;E4&amp;"',remark='"&amp;H4&amp;"',is_use='"&amp;I4&amp;"',is_chkauth='"&amp;J4&amp;"',page_type='"&amp;C4&amp;"',service_type='"&amp;M4&amp;"',key_type='"&amp;K4&amp;"',key_no='"&amp;L4&amp;"',menu_no='"&amp;B4&amp;"',site_type='"&amp;N4&amp;"',version_info='"&amp;O4&amp;"',basic_key_type='"&amp;K4&amp;"',basic_key_no='"&amp;L4&amp;"',upd_date=to_char(sysdate,'yyyymmddhh24miss') where file_name =  '"&amp;D4&amp;"' ; "</f>
        <v xml:space="preserve"> update tapage set description='정기점검실행목록',remark='정기점검실행목록',is_use='Y',is_chkauth='Y',page_type='ML',service_type='WEB',key_type='PAGE',key_no='workPmiListView',menu_no='AP591',site_type='DREAM',version_info='2.00',basic_key_type='PAGE',basic_key_no='workPmiListView',upd_date=to_char(sysdate,'yyyymmddhh24miss') where file_name =  'workPmiListView' ; </v>
      </c>
      <c r="S4" s="59" t="str">
        <f>" insert into talang(lang_id, lang, key_type, key_no, key_name, upd_date,is_comm_js_use, use_web, use_android, cre_date, site_type, version_info, basic_key_name) values(sqalang_id.nextval, 'ko','"&amp;K4&amp;"','"&amp;L4&amp;"','"&amp;E4&amp;"',to_char(sysdate,'yyyymmdd'),'N','Y','N',to_char(sysdate,'yyyymmddhh24miss'),'"&amp;N4&amp;"','"&amp;O4&amp;"','"&amp;E4&amp;"'); "</f>
        <v xml:space="preserve"> insert into talang(lang_id, lang, key_type, key_no, key_name, upd_date,is_comm_js_use, use_web, use_android, cre_date, site_type, version_info, basic_key_name) values(sqalang_id.nextval, 'ko','PAGE','workPmiListView','정기점검실행목록',to_char(sysdate,'yyyymmdd'),'N','Y','N',to_char(sysdate,'yyyymmddhh24miss'),'DREAM','2.00','정기점검실행목록'); </v>
      </c>
      <c r="T4" s="15" t="str">
        <f>" update talang set key_name = '"&amp;E4&amp;"', basic_key_name = '"&amp;E4&amp;"',is_comm_js_use = 'N',site_type = '"&amp;N4&amp;"', use_web = '"&amp;I4&amp;"',  version_info = '"&amp;O4&amp;"',  upd_date = to_char(sysdate,'yyyymmdd')  where lang = 'ko' and key_type =  '"&amp;K4&amp;"' and key_no =  '"&amp;L4&amp;"' ;  "</f>
        <v xml:space="preserve"> update talang set key_name = '정기점검실행목록', basic_key_name = '정기점검실행목록',is_comm_js_use = 'N',site_type = 'DREAM', use_web = 'Y',  version_info = '2.00',  upd_date = to_char(sysdate,'yyyymmdd')  where lang = 'ko' and key_type =  'PAGE' and key_no =  'workPmiListView' ;  </v>
      </c>
      <c r="U4" s="15" t="str">
        <f>" insert into talang(lang_id, lang, key_type, key_no, key_name, upd_date,is_comm_js_use, use_web, use_android, cre_date, site_type, version_info, basic_key_name) values(sqalang_id.nextval, 'en','"&amp;K4&amp;"','"&amp;L4&amp;"','"&amp;F4&amp;"',to_char(sysdate,'yyyymmdd'),'N','Y','N',to_char(sysdate,'yyymmddhh24miss'),'"&amp;N4&amp;"','"&amp;O4&amp;"','"&amp;F4&amp;"'); "</f>
        <v xml:space="preserve"> insert into talang(lang_id, lang, key_type, key_no, key_name, upd_date,is_comm_js_use, use_web, use_android, cre_date, site_type, version_info, basic_key_name) values(sqalang_id.nextval, 'en','PAGE','workPmiListView','PMI Execute List',to_char(sysdate,'yyyymmdd'),'N','Y','N',to_char(sysdate,'yyymmddhh24miss'),'DREAM','2.00','PMI Execute List'); </v>
      </c>
      <c r="V4" s="15" t="str">
        <f>" update talang set key_name = '"&amp;F4&amp;"', basic_key_name = '"&amp;F4&amp;"',is_comm_js_use = 'N',site_type = '"&amp;N4&amp;"', use_web = '"&amp;I4&amp;"',  version_info = '"&amp;O4&amp;"',  upd_date =to_char(sysdate,'yyyymmdd') where lang = 'en' and key_type =  '"&amp;K4&amp;"' and key_no =  '"&amp;L4&amp;"' ;  "</f>
        <v xml:space="preserve"> update talang set key_name = 'PMI Execute List', basic_key_name = 'PMI Execute List',is_comm_js_use = 'N',site_type = 'DREAM', use_web = 'Y',  version_info = '2.00',  upd_date =to_char(sysdate,'yyyymmdd') where lang = 'en' and key_type =  'PAGE' and key_no =  'workPmiListView' ;  </v>
      </c>
      <c r="W4" s="15" t="str">
        <f>" insert into talang(lang_id, lang, key_type, key_no, key_name, upd_date,is_comm_js_use, use_web, use_android, cre_date, site_type, version_info, basic_key_name) values(sqalang_id.nextval, 'cn','"&amp;K4&amp;"','"&amp;L4&amp;"','"&amp;G4&amp;"',to_char(sysdate,'yyyymmdd'),'N','Y','N',to_char(sysdate,'yyymmddhh24miss'),'"&amp;N4&amp;"','"&amp;O4&amp;"','"&amp;G4&amp;"'); "</f>
        <v xml:space="preserve"> insert into talang(lang_id, lang, key_type, key_no, key_name, upd_date,is_comm_js_use, use_web, use_android, cre_date, site_type, version_info, basic_key_name) values(sqalang_id.nextval, 'cn','PAGE','workPmiListView','',to_char(sysdate,'yyyymmdd'),'N','Y','N',to_char(sysdate,'yyymmddhh24miss'),'DREAM','2.00',''); </v>
      </c>
      <c r="X4" s="15" t="str">
        <f>" update talang set key_name = '"&amp;G4&amp;"', basic_key_name = '"&amp;G4&amp;"',is_comm_js_use = 'N',site_type = '"&amp;N4&amp;"', use_web = '"&amp;I4&amp;"',  version_info = '"&amp;O4&amp;"',  upd_date =to_char(sysdate,'yyyymmdd') where lang = 'cn' and key_type =  '"&amp;K4&amp;"' and key_no =  '"&amp;L4&amp;"' ;  "</f>
        <v xml:space="preserve"> update talang set key_name = '', basic_key_name = '',is_comm_js_use = 'N',site_type = 'DREAM', use_web = 'Y',  version_info = '2.00',  upd_date =to_char(sysdate,'yyyymmdd') where lang = 'cn' and key_type =  'PAGE' and key_no =  'workPmiListView' ;  </v>
      </c>
      <c r="Y4" t="s">
        <v>33</v>
      </c>
      <c r="Z4" s="59" t="str">
        <f t="shared" ref="Z4" si="10">" insert into tapage(page_id, file_name, description, remark, is_use, is_chkauth, page_type, service_type, key_type, key_no, menu_no, site_type, version_info, basic_key_type, basic_key_no, cre_date, upd_date) values(next value for sqapage_id, replace('"&amp;D4&amp;"',' ',''), replace('"&amp;E4&amp;"',' ',''), replace('"&amp;H4&amp;"',' ',''), replace('"&amp;I4&amp;"',' ',''), replace('"&amp;J4&amp;"',' ',''), replace('"&amp;C4&amp;"',' ',''), replace('"&amp;M4&amp;"',' ',''), replace('"&amp;K4&amp;"',' ',''), replace('"&amp;L4&amp;"',' ',''), replace('"&amp;B4&amp;"',' ',''), replace('"&amp;N4&amp;"',' ',''), replace('"&amp;O4&amp;"',' ',''), replace('"&amp;K4&amp;"',' ',''), replace('"&amp;L4&amp;"',' ',''), CONVERT(CHAR(8),GETDATE(),112)+REPLACE(CONVERT(CHAR(8),GETDATE(),108),':',''),CONVERT(CHAR(8),GETDATE(),112)+REPLACE(CONVERT(CHAR(8),GETDATE(),108),':','')); "</f>
        <v xml:space="preserve"> insert into tapage(page_id, file_name, description, remark, is_use, is_chkauth, page_type, service_type, key_type, key_no, menu_no, site_type, version_info, basic_key_type, basic_key_no, cre_date, upd_date) values(next value for sqapage_id, replace('workPmiListView',' ',''), replace('정기점검실행목록',' ',''), replace('정기점검실행목록',' ',''), replace('Y',' ',''), replace('Y',' ',''), replace('ML',' ',''), replace('WEB',' ',''), replace('PAGE',' ',''), replace('workPmiListView',' ',''), replace('AP591',' ',''), replace('DREAM',' ',''), replace('2.00',' ',''), replace('PAGE',' ',''), replace('workPmiListView',' ',''), CONVERT(CHAR(8),GETDATE(),112)+REPLACE(CONVERT(CHAR(8),GETDATE(),108),':',''),CONVERT(CHAR(8),GETDATE(),112)+REPLACE(CONVERT(CHAR(8),GETDATE(),108),':','')); </v>
      </c>
      <c r="AA4" s="15" t="str">
        <f>" update tapage set description='"&amp;E4&amp;"',remark='"&amp;H4&amp;"',is_use='"&amp;I4&amp;"',is_chkauth='"&amp;J4&amp;"',page_type='"&amp;C4&amp;"',service_type='"&amp;M4&amp;"',key_type='"&amp;K4&amp;"',key_no='"&amp;L4&amp;"',menu_no='"&amp;B4&amp;"',site_type='"&amp;N4&amp;"',version_info='"&amp;O4&amp;"',basic_key_type='"&amp;K4&amp;"',basic_key_no='"&amp;L4&amp;"',upd_date=CONVERT(CHAR(8),GETDATE(),112)+REPLACE(CONVERT(CHAR(8),GETDATE(),108),':','') where file_name =  '"&amp;D4&amp;"' ; "</f>
        <v xml:space="preserve"> update tapage set description='정기점검실행목록',remark='정기점검실행목록',is_use='Y',is_chkauth='Y',page_type='ML',service_type='WEB',key_type='PAGE',key_no='workPmiListView',menu_no='AP591',site_type='DREAM',version_info='2.00',basic_key_type='PAGE',basic_key_no='workPmiListView',upd_date=CONVERT(CHAR(8),GETDATE(),112)+REPLACE(CONVERT(CHAR(8),GETDATE(),108),':','') where file_name =  'workPmiListView' ; </v>
      </c>
      <c r="AB4" s="59" t="str">
        <f t="shared" ref="AB4" si="11">" insert into talang(lang_id, lang, key_type, key_no, key_name, upd_date,is_comm_js_use, use_web, use_android, cre_date, site_type, version_info, basic_key_name) values(next value for sqalang_id, 'ko', replace('"&amp;K4&amp;"',' ',''), replace('"&amp;L4&amp;"',' ',''), '"&amp;E4&amp;"', CONVERT(CHAR(8),GETDATE(),112)+REPLACE(CONVERT(CHAR(8),GETDATE(),108),':',''),'N','Y','N',CONVERT(CHAR(8),GETDATE(),112)+REPLACE(CONVERT(CHAR(8),GETDATE(),108),':',''),replace('"&amp;N4&amp;"',' ',''), replace('"&amp;O4&amp;"',' ',''), '"&amp;E4&amp;"'); "</f>
        <v xml:space="preserve"> insert into talang(lang_id, lang, key_type, key_no, key_name, upd_date,is_comm_js_use, use_web, use_android, cre_date, site_type, version_info, basic_key_name) values(next value for sqalang_id, 'ko', replace('PAGE',' ',''), replace('workPmiListView',' ',''), '정기점검실행목록', CONVERT(CHAR(8),GETDATE(),112)+REPLACE(CONVERT(CHAR(8),GETDATE(),108),':',''),'N','Y','N',CONVERT(CHAR(8),GETDATE(),112)+REPLACE(CONVERT(CHAR(8),GETDATE(),108),':',''),replace('DREAM',' ',''), replace('2.00',' ',''), '정기점검실행목록'); </v>
      </c>
      <c r="AC4" s="15" t="str">
        <f>" update talang set key_name = '"&amp;E4&amp;"', basic_key_name = '"&amp;E4&amp;"',is_comm_js_use = 'N',site_type = '"&amp;N4&amp;"', use_web = '"&amp;I4&amp;"',  version_info = '"&amp;O4&amp;"',  upd_date = CONVERT(CHAR(8),GETDATE(),112)+REPLACE(CONVERT(CHAR(8),GETDATE(),108),':','')  where lang = 'ko' and key_type =  '"&amp;K4&amp;"' and key_no =  '"&amp;L4&amp;"' ;  "</f>
        <v xml:space="preserve"> update talang set key_name = '정기점검실행목록', basic_key_name = '정기점검실행목록',is_comm_js_use = 'N',site_type = 'DREAM', use_web = 'Y',  version_info = '2.00',  upd_date = CONVERT(CHAR(8),GETDATE(),112)+REPLACE(CONVERT(CHAR(8),GETDATE(),108),':','')  where lang = 'ko' and key_type =  'PAGE' and key_no =  'workPmiListView' ;  </v>
      </c>
      <c r="AD4" s="15" t="str">
        <f>" insert into talang(lang_id, lang, key_type, key_no, key_name, upd_date,is_comm_js_use, use_web, use_android, cre_date, site_type, version_info, basic_key_name) values(next value for sqalang_id, 'en', replace('"&amp;K4&amp;"',' ',''), replace('"&amp;L4&amp;"',' ',''), '"&amp;F4&amp;"', CONVERT(CHAR(8),GETDATE(),112)+REPLACE(CONVERT(CHAR(8),GETDATE(),108),':',''),'N','Y','N',CONVERT(CHAR(8),GETDATE(),112)+REPLACE(CONVERT(CHAR(8),GETDATE(),108),':',''),replace('"&amp;N4&amp;"',' ',''), replace('"&amp;O4&amp;"',' ',''), '"&amp;F4&amp;"'); "</f>
        <v xml:space="preserve"> insert into talang(lang_id, lang, key_type, key_no, key_name, upd_date,is_comm_js_use, use_web, use_android, cre_date, site_type, version_info, basic_key_name) values(next value for sqalang_id, 'en', replace('PAGE',' ',''), replace('workPmiListView',' ',''), 'PMI Execute List', CONVERT(CHAR(8),GETDATE(),112)+REPLACE(CONVERT(CHAR(8),GETDATE(),108),':',''),'N','Y','N',CONVERT(CHAR(8),GETDATE(),112)+REPLACE(CONVERT(CHAR(8),GETDATE(),108),':',''),replace('DREAM',' ',''), replace('2.00',' ',''), 'PMI Execute List'); </v>
      </c>
      <c r="AE4" s="15" t="str">
        <f>" update talang set key_name = '"&amp;F4&amp;"', basic_key_name = '"&amp;F4&amp;"',is_comm_js_use = 'N',site_type = '"&amp;N4&amp;"', use_web = '"&amp;I4&amp;"',  version_info = '"&amp;O4&amp;"',  upd_date = CONVERT(CHAR(8),GETDATE(),112)+REPLACE(CONVERT(CHAR(8),GETDATE(),108),':','')  where lang = 'en' and key_type =  '"&amp;K4&amp;"' and key_no =  '"&amp;L4&amp;"' ;  "</f>
        <v xml:space="preserve"> update talang set key_name = 'PMI Execute List', basic_key_name = 'PMI Execute List',is_comm_js_use = 'N',site_type = 'DREAM', use_web = 'Y',  version_info = '2.00',  upd_date = CONVERT(CHAR(8),GETDATE(),112)+REPLACE(CONVERT(CHAR(8),GETDATE(),108),':','')  where lang = 'en' and key_type =  'PAGE' and key_no =  'workPmiListView' ;  </v>
      </c>
      <c r="AF4" s="15" t="str">
        <f>" insert into talang(lang_id, lang, key_type, key_no, key_name, upd_date,is_comm_js_use, use_web, use_android, cre_date, site_type, version_info, basic_key_name) values(next value for sqalang_id, 'cn', replace('"&amp;K4&amp;"',' ',''), replace('"&amp;L4&amp;"',' ',''), '"&amp;G4&amp;"', CONVERT(CHAR(8),GETDATE(),112)+REPLACE(CONVERT(CHAR(8),GETDATE(),108),':',''),'N','Y','N',CONVERT(CHAR(8),GETDATE(),112)+REPLACE(CONVERT(CHAR(8),GETDATE(),108),':',''),replace('"&amp;N4&amp;"',' ',''), replace('"&amp;O4&amp;"',' ',''), '"&amp;G4&amp;"'); "</f>
        <v xml:space="preserve"> insert into talang(lang_id, lang, key_type, key_no, key_name, upd_date,is_comm_js_use, use_web, use_android, cre_date, site_type, version_info, basic_key_name) values(next value for sqalang_id, 'cn', replace('PAGE',' ',''), replace('workPmiListView',' ',''), '', CONVERT(CHAR(8),GETDATE(),112)+REPLACE(CONVERT(CHAR(8),GETDATE(),108),':',''),'N','Y','N',CONVERT(CHAR(8),GETDATE(),112)+REPLACE(CONVERT(CHAR(8),GETDATE(),108),':',''),replace('DREAM',' ',''), replace('2.00',' ',''), ''); </v>
      </c>
      <c r="AG4" s="15" t="str">
        <f>" update talang set key_name = '"&amp;G4&amp;"', basic_key_name = '"&amp;G4&amp;"',is_comm_js_use = 'N',site_type = '"&amp;N4&amp;"', use_web = '"&amp;I4&amp;"',  version_info = '"&amp;O4&amp;"',  upd_date = CONVERT(CHAR(8),GETDATE(),112)+REPLACE(CONVERT(CHAR(8),GETDATE(),108),':','')  where lang = 'cn' and key_type =  '"&amp;K4&amp;"' and key_no =  '"&amp;L4&amp;"' ;  "</f>
        <v xml:space="preserve"> update talang set key_name = '', basic_key_name = '',is_comm_js_use = 'N',site_type = 'DREAM', use_web = 'Y',  version_info = '2.00',  upd_date = CONVERT(CHAR(8),GETDATE(),112)+REPLACE(CONVERT(CHAR(8),GETDATE(),108),':','')  where lang = 'cn' and key_type =  'PAGE' and key_no =  'workPmiListView' ;  </v>
      </c>
      <c r="AH4" t="s">
        <v>33</v>
      </c>
      <c r="AI4" s="15" t="str">
        <f t="shared" ref="AI4" si="12">" insert into tapage(page_id, file_name, description, remark, is_use, is_chkauth, page_type, service_type, key_type, key_no, menu_no, site_type, version_info, basic_key_type, basic_key_no, cre_date, upd_date) values(sqapage_id.nextval, '"&amp;D4&amp;"','"&amp;E4&amp;"','"&amp;H4&amp;"', 'N' ,'"&amp;J4&amp;"','"&amp;C4&amp;"','"&amp;M4&amp;"','"&amp;K4&amp;"','"&amp;L4&amp;"','"&amp;B4&amp;"','"&amp;N4&amp;"','"&amp;O4&amp;"','"&amp;K4&amp;"','"&amp;L4&amp;"',to_char(sysdate,'yyyymmddhh24miss'),to_char(sysdate,'yyyymmddhh24miss')); "</f>
        <v xml:space="preserve"> insert into tapage(page_id, file_name, description, remark, is_use, is_chkauth, page_type, service_type, key_type, key_no, menu_no, site_type, version_info, basic_key_type, basic_key_no, cre_date, upd_date) values(sqapage_id.nextval, 'workPmiListView','정기점검실행목록','정기점검실행목록', 'N' ,'Y','ML','WEB','PAGE','workPmiListView','AP591','DREAM','2.00','PAGE','workPmiListView',to_char(sysdate,'yyyymmddhh24miss'),to_char(sysdate,'yyyymmddhh24miss')); </v>
      </c>
      <c r="AJ4" s="15" t="str">
        <f t="shared" ref="AJ4" si="13">" insert into tapage(page_id, file_name, description, remark, is_use, is_chkauth, page_type, service_type, key_type, key_no, menu_no, site_type, version_info, basic_key_type, basic_key_no, cre_date, upd_date) values(next value for sqapage_id, '"&amp;D4&amp;"','"&amp;E4&amp;"','"&amp;H4&amp;"', 'N' ,'"&amp;J4&amp;"','"&amp;C4&amp;"','"&amp;M4&amp;"','"&amp;K4&amp;"','"&amp;L4&amp;"','"&amp;B4&amp;"','"&amp;N4&amp;"','"&amp;O4&amp;"','"&amp;K4&amp;"','"&amp;L4&amp;"',CONVERT(CHAR(8),GETDATE(),112)+REPLACE(CONVERT(CHAR(8),GETDATE(),108),':',''),CONVERT(CHAR(8),GETDATE(),112)+REPLACE(CONVERT(CHAR(8),GETDATE(),108),':','')); "</f>
        <v xml:space="preserve"> insert into tapage(page_id, file_name, description, remark, is_use, is_chkauth, page_type, service_type, key_type, key_no, menu_no, site_type, version_info, basic_key_type, basic_key_no, cre_date, upd_date) values(next value for sqapage_id, 'workPmiListView','정기점검실행목록','정기점검실행목록', 'N' ,'Y','ML','WEB','PAGE','workPmiListView','AP591','DREAM','2.00','PAGE','workPmiListView',CONVERT(CHAR(8),GETDATE(),112)+REPLACE(CONVERT(CHAR(8),GETDATE(),108),':',''),CONVERT(CHAR(8),GETDATE(),112)+REPLACE(CONVERT(CHAR(8),GETDATE(),108),':','')); </v>
      </c>
      <c r="AK4" t="s">
        <v>33</v>
      </c>
      <c r="AL4" s="15" t="str">
        <f t="shared" ref="AL4" si="14">" insert into tapage(page_id, file_name, description, remark, is_use, is_chkauth, page_type, service_type, key_type, key_no, menu_no, site_type, version_info, basic_key_type, basic_key_no, cre_date, upd_date) values(sqapage_id.nextval, '"&amp;D4&amp;"','"&amp;E4&amp;"','"&amp;H4&amp;"', 'Y' ,'"&amp;J4&amp;"','"&amp;C4&amp;"','"&amp;M4&amp;"','"&amp;K4&amp;"','"&amp;L4&amp;"','"&amp;B4&amp;"','"&amp;N4&amp;"','"&amp;O4&amp;"','"&amp;K4&amp;"','"&amp;L4&amp;"',to_char(sysdate,'yyyymmddhh24miss'),to_char(sysdate,'yyyymmddhh24miss')); "</f>
        <v xml:space="preserve"> insert into tapage(page_id, file_name, description, remark, is_use, is_chkauth, page_type, service_type, key_type, key_no, menu_no, site_type, version_info, basic_key_type, basic_key_no, cre_date, upd_date) values(sqapage_id.nextval, 'workPmiListView','정기점검실행목록','정기점검실행목록', 'Y' ,'Y','ML','WEB','PAGE','workPmiListView','AP591','DREAM','2.00','PAGE','workPmiListView',to_char(sysdate,'yyyymmddhh24miss'),to_char(sysdate,'yyyymmddhh24miss')); </v>
      </c>
      <c r="AM4" s="15" t="str">
        <f>" update tapage set description='"&amp;E4&amp;"',remark='"&amp;H4&amp;"',is_use='"&amp;I4&amp;"',is_chkauth='"&amp;J4&amp;"',page_type='"&amp;C4&amp;"',service_type='"&amp;M4&amp;"',key_type='"&amp;K4&amp;"',key_no='"&amp;L4&amp;"',menu_no='"&amp;B4&amp;"',site_type='"&amp;N4&amp;"',version_info='"&amp;O4&amp;"',basic_key_type='"&amp;K4&amp;"',basic_key_no='"&amp;L4&amp;"',upd_date=to_char(sysdate,'yyyymmddhh24miss') where file_name =  '"&amp;D4&amp;"' ; "</f>
        <v xml:space="preserve"> update tapage set description='정기점검실행목록',remark='정기점검실행목록',is_use='Y',is_chkauth='Y',page_type='ML',service_type='WEB',key_type='PAGE',key_no='workPmiListView',menu_no='AP591',site_type='DREAM',version_info='2.00',basic_key_type='PAGE',basic_key_no='workPmiListView',upd_date=to_char(sysdate,'yyyymmddhh24miss') where file_name =  'workPmiListView' ; </v>
      </c>
      <c r="AN4" s="15" t="str">
        <f t="shared" ref="AN4" si="15">" insert into tapage(page_id, file_name, description, remark, is_use, is_chkauth, page_type, service_type, key_type, key_no, menu_no, site_type, version_info, basic_key_type, basic_key_no, cre_date, upd_date) values(next value for sqapage_id, '"&amp;D4&amp;"','"&amp;E4&amp;"','"&amp;H4&amp;"', 'Y' ,'"&amp;J4&amp;"','"&amp;C4&amp;"','"&amp;M4&amp;"','"&amp;K4&amp;"','"&amp;L4&amp;"','"&amp;B4&amp;"','"&amp;N4&amp;"','"&amp;O4&amp;"','"&amp;K4&amp;"','"&amp;L4&amp;"',CONVERT(CHAR(8),GETDATE(),112)+REPLACE(CONVERT(CHAR(8),GETDATE(),108),':',''),CONVERT(CHAR(8),GETDATE(),112)+REPLACE(CONVERT(CHAR(8),GETDATE(),108),':','')); "</f>
        <v xml:space="preserve"> insert into tapage(page_id, file_name, description, remark, is_use, is_chkauth, page_type, service_type, key_type, key_no, menu_no, site_type, version_info, basic_key_type, basic_key_no, cre_date, upd_date) values(next value for sqapage_id, 'workPmiListView','정기점검실행목록','정기점검실행목록', 'Y' ,'Y','ML','WEB','PAGE','workPmiListView','AP591','DREAM','2.00','PAGE','workPmiListView',CONVERT(CHAR(8),GETDATE(),112)+REPLACE(CONVERT(CHAR(8),GETDATE(),108),':',''),CONVERT(CHAR(8),GETDATE(),112)+REPLACE(CONVERT(CHAR(8),GETDATE(),108),':','')); </v>
      </c>
      <c r="AO4" s="15" t="str">
        <f>" update tapage set description='"&amp;E4&amp;"',remark='"&amp;H4&amp;"',is_use='"&amp;I4&amp;"',is_chkauth='"&amp;J4&amp;"',page_type='"&amp;C4&amp;"',service_type='"&amp;M4&amp;"',key_type='"&amp;K4&amp;"',key_no='"&amp;L4&amp;"',menu_no='"&amp;B4&amp;"',site_type='"&amp;N4&amp;"',version_info='"&amp;O4&amp;"',basic_key_type='"&amp;K4&amp;"',basic_key_no='"&amp;L4&amp;"',upd_date=CONVERT(CHAR(8),GETDATE(),112)+REPLACE(CONVERT(CHAR(8),GETDATE(),108),':','')  where file_name =  '"&amp;D4&amp;"' ; "</f>
        <v xml:space="preserve"> update tapage set description='정기점검실행목록',remark='정기점검실행목록',is_use='Y',is_chkauth='Y',page_type='ML',service_type='WEB',key_type='PAGE',key_no='workPmiListView',menu_no='AP591',site_type='DREAM',version_info='2.00',basic_key_type='PAGE',basic_key_no='workPmiListView',upd_date=CONVERT(CHAR(8),GETDATE(),112)+REPLACE(CONVERT(CHAR(8),GETDATE(),108),':','')  where file_name =  'workPmiListView' ; </v>
      </c>
      <c r="AP4" t="s">
        <v>33</v>
      </c>
    </row>
  </sheetData>
  <autoFilter ref="A1:AF1" xr:uid="{00000000-0009-0000-0000-000001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5"/>
  <sheetViews>
    <sheetView topLeftCell="J1" workbookViewId="0">
      <selection activeCell="S10" sqref="S10"/>
    </sheetView>
  </sheetViews>
  <sheetFormatPr defaultRowHeight="16.5" x14ac:dyDescent="0.3"/>
  <cols>
    <col min="3" max="3" width="17.25" bestFit="1" customWidth="1"/>
    <col min="4" max="4" width="19.375" bestFit="1" customWidth="1"/>
    <col min="5" max="5" width="17.25" bestFit="1" customWidth="1"/>
    <col min="6" max="6" width="16" bestFit="1" customWidth="1"/>
    <col min="8" max="8" width="31.75" bestFit="1" customWidth="1"/>
    <col min="12" max="12" width="18.75" bestFit="1" customWidth="1"/>
  </cols>
  <sheetData>
    <row r="1" spans="1:45" s="28" customFormat="1" ht="82.5" x14ac:dyDescent="0.3">
      <c r="A1" s="18" t="s">
        <v>162</v>
      </c>
      <c r="B1" s="18" t="s">
        <v>163</v>
      </c>
      <c r="C1" s="18" t="s">
        <v>184</v>
      </c>
      <c r="D1" s="18" t="s">
        <v>185</v>
      </c>
      <c r="E1" s="19" t="s">
        <v>186</v>
      </c>
      <c r="F1" s="19" t="s">
        <v>187</v>
      </c>
      <c r="G1" s="19" t="s">
        <v>188</v>
      </c>
      <c r="H1" s="18" t="s">
        <v>189</v>
      </c>
      <c r="I1" s="18" t="s">
        <v>190</v>
      </c>
      <c r="J1" s="18" t="s">
        <v>170</v>
      </c>
      <c r="K1" s="18" t="s">
        <v>172</v>
      </c>
      <c r="L1" s="18" t="s">
        <v>173</v>
      </c>
      <c r="M1" s="18" t="s">
        <v>34</v>
      </c>
      <c r="N1" s="18" t="s">
        <v>175</v>
      </c>
      <c r="O1" s="18" t="s">
        <v>191</v>
      </c>
      <c r="P1"/>
      <c r="Q1" s="27" t="s">
        <v>192</v>
      </c>
      <c r="R1" s="27" t="s">
        <v>193</v>
      </c>
      <c r="S1"/>
      <c r="T1" s="21" t="s">
        <v>194</v>
      </c>
      <c r="U1" s="22" t="s">
        <v>195</v>
      </c>
      <c r="V1" s="47" t="s">
        <v>329</v>
      </c>
      <c r="W1" s="47" t="s">
        <v>316</v>
      </c>
      <c r="X1" s="47" t="s">
        <v>330</v>
      </c>
      <c r="Y1" s="47" t="s">
        <v>318</v>
      </c>
      <c r="Z1" s="47" t="s">
        <v>331</v>
      </c>
      <c r="AA1" s="47" t="s">
        <v>320</v>
      </c>
      <c r="AC1" s="24" t="s">
        <v>196</v>
      </c>
      <c r="AD1" s="24" t="s">
        <v>197</v>
      </c>
      <c r="AE1" s="48" t="s">
        <v>321</v>
      </c>
      <c r="AF1" s="48" t="s">
        <v>322</v>
      </c>
      <c r="AG1" s="48" t="s">
        <v>323</v>
      </c>
      <c r="AH1" s="48" t="s">
        <v>324</v>
      </c>
      <c r="AI1" s="48" t="s">
        <v>325</v>
      </c>
      <c r="AJ1" s="48" t="s">
        <v>326</v>
      </c>
      <c r="AL1" s="25" t="s">
        <v>198</v>
      </c>
      <c r="AM1" s="26" t="s">
        <v>199</v>
      </c>
      <c r="AO1" s="29" t="s">
        <v>200</v>
      </c>
      <c r="AP1" s="29" t="s">
        <v>332</v>
      </c>
      <c r="AQ1" s="26" t="s">
        <v>201</v>
      </c>
      <c r="AR1" s="26" t="s">
        <v>333</v>
      </c>
    </row>
    <row r="2" spans="1:45" x14ac:dyDescent="0.3">
      <c r="A2" s="15">
        <v>1</v>
      </c>
      <c r="B2" s="14" t="s">
        <v>36</v>
      </c>
      <c r="C2" s="16" t="s">
        <v>42</v>
      </c>
      <c r="D2" s="16" t="s">
        <v>37</v>
      </c>
      <c r="E2" s="60" t="s">
        <v>380</v>
      </c>
      <c r="F2" s="15" t="s">
        <v>311</v>
      </c>
      <c r="G2" s="15"/>
      <c r="H2" s="15" t="s">
        <v>382</v>
      </c>
      <c r="I2" s="16" t="s">
        <v>46</v>
      </c>
      <c r="J2" s="14" t="s">
        <v>297</v>
      </c>
      <c r="K2" s="16" t="s">
        <v>45</v>
      </c>
      <c r="L2" s="16" t="str">
        <f>D2</f>
        <v>workPmiDetail</v>
      </c>
      <c r="M2" s="16" t="s">
        <v>39</v>
      </c>
      <c r="N2" s="17" t="s">
        <v>40</v>
      </c>
      <c r="O2" s="15"/>
      <c r="Q2" s="15" t="str">
        <f t="shared" ref="Q2:R2" si="0">" (select page_id from tapage where file_name='"&amp;C2&amp;"') "</f>
        <v xml:space="preserve"> (select page_id from tapage where file_name='workPmiList') </v>
      </c>
      <c r="R2" s="15" t="str">
        <f t="shared" si="0"/>
        <v xml:space="preserve"> (select page_id from tapage where file_name='workPmiDetail') </v>
      </c>
      <c r="S2" t="s">
        <v>33</v>
      </c>
      <c r="T2" s="15" t="str">
        <f>"INSERT INTO TAPGPAGE (pgpage_id, page_id, c_page_id, ord_no, is_use, key_type, key_no, file_name, c_file_name, site_type, version_info, basic_key_type, basic_key_no, cre_date, upd_date) VALUES (SQAPGPAGE_ID.NEXTVAL, "&amp;Q2&amp;", "&amp;R2&amp;",  '"&amp;TRIM(I2)&amp;"',  '"&amp;TRIM(J2)&amp;"',  '"&amp;TRIM(K2)&amp;"',  '"&amp;TRIM(L2)&amp;"',  '"&amp;TRIM(C2)&amp;"',  '"&amp;TRIM(D2)&amp;"',  '"&amp;TRIM(M2)&amp;"',  '"&amp;TRIM(N2)&amp;"',  '"&amp;TRIM(K2)&amp;"',  '"&amp;TRIM(L2)&amp;"',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file_name='workPmiList') ,  (select page_id from tapage where file_name='workPmiDetail') ,  '110',  'Y',  'TAB',  'workPmiDetail',  'workPmiList',  'workPmiDetail',  'DREAM',  '2.00',  'TAB',  'workPmiDetail', to_char(sysdate, 'yyyymmddhh24miss'), to_char(sysdate, 'yyyymmddhh24miss'));</v>
      </c>
      <c r="U2" s="15" t="str">
        <f>" update tapgpage set is_use = '"&amp;J2&amp;"', ord_no = '"&amp;I2&amp;"', key_type = '"&amp;K2&amp;"', key_no= '"&amp;L2&amp;"' ,basic_key_type='"&amp;K2&amp;"',basic_key_no='"&amp;L2&amp;"',version_info='"&amp;N2&amp;"',site_type='"&amp;M2&amp;"', upd_date=to_char(sysdate, 'yyyymmddhh24miss')  where page_id="&amp;Q2&amp;" and c_page_id = "&amp;R2&amp;" ; "</f>
        <v xml:space="preserve"> update tapgpage set is_use = 'Y', ord_no = '110', key_type = 'TAB', key_no= 'workPmiDetail' ,basic_key_type='TAB',basic_key_no='workPmiDetail',version_info='2.00',site_type='DREAM', upd_date=to_char(sysdate, 'yyyymmddhh24miss')  where page_id= (select page_id from tapage where file_name='workPmiList')  and c_page_id =  (select page_id from tapage where file_name='workPmiDetail')  ; </v>
      </c>
      <c r="V2" s="15" t="str">
        <f>" insert into talang(lang_id, lang, key_type, key_no, key_name, upd_date,is_comm_js_use, use_web, use_android, cre_date, site_type, version_info, basic_key_name) values(sqalang_id.nextval, 'ko','"&amp;K2&amp;"','"&amp;L2&amp;"','"&amp;E2&amp;"',to_char(sysdate, 'yyyymmddhh24miss'),'N','Y','N',to_char(sysdate, 'yyyymmddhh24miss'),'"&amp;M2&amp;"','"&amp;N2&amp;"','"&amp;E2&amp;"'); "</f>
        <v xml:space="preserve"> insert into talang(lang_id, lang, key_type, key_no, key_name, upd_date,is_comm_js_use, use_web, use_android, cre_date, site_type, version_info, basic_key_name) values(sqalang_id.nextval, 'ko','TAB','workPmiDetail','정기점검실행목록',to_char(sysdate, 'yyyymmddhh24miss'),'N','Y','N',to_char(sysdate, 'yyyymmddhh24miss'),'DREAM','2.00','정기점검실행목록'); </v>
      </c>
      <c r="W2" s="15" t="str">
        <f>"update talang set key_name = '"&amp;E2&amp;"', basic_key_name = '"&amp;E2&amp;"',site_type = '"&amp;M2&amp;"', version_info = '"&amp;N2&amp;"',  upd_date = to_char(sysdate, 'yyyymmddhh24miss')  where lang = 'ko' and key_type =  '"&amp;K2&amp;"' and key_no =  '"&amp;L2&amp;"' ; "</f>
        <v xml:space="preserve">update talang set key_name = '정기점검실행목록', basic_key_name = '정기점검실행목록',site_type = 'DREAM', version_info = '2.00',  upd_date = to_char(sysdate, 'yyyymmddhh24miss')  where lang = 'ko' and key_type =  'TAB' and key_no =  'workPmiDetail' ; </v>
      </c>
      <c r="X2" s="15" t="str">
        <f>" insert into talang(lang_id, lang, key_type, key_no, key_name, upd_date,is_comm_js_use, use_web, use_android, cre_date, site_type, version_info, basic_key_name) values(sqalang_id.nextval, 'en','"&amp;K2&amp;"','"&amp;L2&amp;"','"&amp;F2&amp;"',to_char(sysdate, 'yyyymmddhh24miss'),'N','Y','N',to_char(sysdate, 'yyyymmddhh24miss'),'"&amp;M2&amp;"','"&amp;N2&amp;"','"&amp;F2&amp;"'); "</f>
        <v xml:space="preserve"> insert into talang(lang_id, lang, key_type, key_no, key_name, upd_date,is_comm_js_use, use_web, use_android, cre_date, site_type, version_info, basic_key_name) values(sqalang_id.nextval, 'en','TAB','workPmiDetail','PMI Execute List',to_char(sysdate, 'yyyymmddhh24miss'),'N','Y','N',to_char(sysdate, 'yyyymmddhh24miss'),'DREAM','2.00','PMI Execute List'); </v>
      </c>
      <c r="Y2" s="15" t="str">
        <f>"update talang set key_name = '"&amp;F2&amp;"', basic_key_name = '"&amp;F2&amp;"',site_type = '"&amp;M2&amp;"', version_info = '"&amp;N2&amp;"',  upd_date = to_char(sysdate, 'yyyymmddhh24miss')  where lang = 'en' and key_type =  '"&amp;K2&amp;"' and key_no =  '"&amp;L2&amp;"' ; "</f>
        <v xml:space="preserve">update talang set key_name = 'PMI Execute List', basic_key_name = 'PMI Execute List',site_type = 'DREAM', version_info = '2.00',  upd_date = to_char(sysdate, 'yyyymmddhh24miss')  where lang = 'en' and key_type =  'TAB' and key_no =  'workPmiDetail' ; </v>
      </c>
      <c r="Z2" s="15" t="str">
        <f>" insert into talang(lang_id, lang, key_type, key_no, key_name, upd_date,is_comm_js_use, use_web, use_android, cre_date, site_type, version_info, basic_key_name) values(sqalang_id.nextval, 'cn','"&amp;K2&amp;"','"&amp;L2&amp;"','"&amp;G2&amp;"',to_char(sysdate, 'yyyymmddhh24miss'),'N','Y','N',to_char(sysdate, 'yyyymmddhh24miss'),'"&amp;M2&amp;"','"&amp;N2&amp;"','"&amp;G2&amp;"'); "</f>
        <v xml:space="preserve"> insert into talang(lang_id, lang, key_type, key_no, key_name, upd_date,is_comm_js_use, use_web, use_android, cre_date, site_type, version_info, basic_key_name) values(sqalang_id.nextval, 'cn','TAB','workPmiDetail','',to_char(sysdate, 'yyyymmddhh24miss'),'N','Y','N',to_char(sysdate, 'yyyymmddhh24miss'),'DREAM','2.00',''); </v>
      </c>
      <c r="AA2" s="15" t="str">
        <f>"update talang set key_name = '"&amp;G2&amp;"', basic_key_name = '"&amp;G2&amp;"',site_type = '"&amp;M2&amp;"', version_info = '"&amp;N2&amp;"',  upd_date = to_char(sysdate, 'yyyymmddhh24miss')  where lang = 'cn' and key_type =  '"&amp;K2&amp;"' and key_no =  '"&amp;L2&amp;"' ; "</f>
        <v xml:space="preserve">update talang set key_name = '', basic_key_name = '',site_type = 'DREAM', version_info = '2.00',  upd_date = to_char(sysdate, 'yyyymmddhh24miss')  where lang = 'cn' and key_type =  'TAB' and key_no =  'workPmiDetail' ; </v>
      </c>
      <c r="AB2" s="12" t="s">
        <v>33</v>
      </c>
      <c r="AC2" s="15" t="str">
        <f>"INSERT INTO TAPGPAGE (pgpage_id, page_id, c_page_id, ord_no, is_use, key_type, key_no, file_name, c_file_name, site_type, version_info, basic_key_type, basic_key_no, cre_date, upd_date) VALUES (next value for SQAPGPAGE_ID, "&amp;Q2&amp;", "&amp;R2&amp;",  replace('"&amp;I2&amp;"', ' ',''),  replace('"&amp;J2&amp;"',' ',''),  replace('"&amp;K2&amp;"',' ',''),  replace('"&amp;L2&amp;"',' ',''),  replace('"&amp;C2&amp;"',' ',''),  replace('"&amp;D2&amp;"',' ',''),  replace('"&amp;M2&amp;"',' ',''),  replace('"&amp;N2&amp;"',' ',''),  replace('"&amp;K2&amp;"',' ',''),  replace('"&amp;L2&amp;"',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file_name='workPmiList') ,  (select page_id from tapage where file_name='workPmiDetail') ,  replace('110', ' ',''),  replace('Y',' ',''),  replace('TAB',' ',''),  replace('workPmiDetail',' ',''),  replace('workPmiList',' ',''),  replace('workPmiDetail',' ',''),  replace('DREAM',' ',''),  replace('2.00',' ',''),  replace('TAB',' ',''),  replace('workPmiDetail', ' ',''),CONVERT(CHAR(8),GETDATE(),112)+REPLACE(CONVERT(CHAR(8),GETDATE(),108),':',''),CONVERT(CHAR(8),GETDATE(),112)+REPLACE(CONVERT(CHAR(8),GETDATE(),108),':',''));</v>
      </c>
      <c r="AD2" s="15" t="str">
        <f>" update tapgpage set is_use = '"&amp;J2&amp;"', ord_no = '"&amp;I2&amp;"', key_type = '"&amp;K2&amp;"', key_no= '"&amp;L2&amp;"' ,basic_key_type='"&amp;K2&amp;"',basic_key_no='"&amp;L2&amp;"',version_info='"&amp;N2&amp;"',site_type='"&amp;M2&amp;"' where page_id="&amp;Q2&amp;" and c_page_id = "&amp;R2&amp;" ; "</f>
        <v xml:space="preserve"> update tapgpage set is_use = 'Y', ord_no = '110', key_type = 'TAB', key_no= 'workPmiDetail' ,basic_key_type='TAB',basic_key_no='workPmiDetail',version_info='2.00',site_type='DREAM' where page_id= (select page_id from tapage where file_name='workPmiList')  and c_page_id =  (select page_id from tapage where file_name='workPmiDetail')  ; </v>
      </c>
      <c r="AE2" s="15" t="str">
        <f>" insert into talang(lang_id, lang, key_type, key_no, key_name, upd_date,is_comm_js_use, use_web, use_android, cre_date, site_type, version_info, basic_key_name) values(next value for sqalang_id, 'ko', replace('"&amp;K2&amp;"',' ',''), replace('"&amp;L2&amp;"',' ',''), '"&amp;E2&amp;"', CONVERT(CHAR(8),GETDATE(),112)+REPLACE(CONVERT(CHAR(8),GETDATE(),108),':',''),'N','Y','N',CONVERT(CHAR(8),GETDATE(),112)+REPLACE(CONVERT(CHAR(8),GETDATE(),108),':',''),replace('"&amp;M2&amp;"',' ',''), replace('"&amp;N2&amp;"',' ',''), '"&amp;E2&amp;"'); "</f>
        <v xml:space="preserve"> insert into talang(lang_id, lang, key_type, key_no, key_name, upd_date,is_comm_js_use, use_web, use_android, cre_date, site_type, version_info, basic_key_name) values(next value for sqalang_id, 'ko', replace('TAB',' ',''), replace('workPmiDetail',' ',''), '정기점검실행목록', CONVERT(CHAR(8),GETDATE(),112)+REPLACE(CONVERT(CHAR(8),GETDATE(),108),':',''),'N','Y','N',CONVERT(CHAR(8),GETDATE(),112)+REPLACE(CONVERT(CHAR(8),GETDATE(),108),':',''),replace('DREAM',' ',''), replace('2.00',' ',''), '정기점검실행목록'); </v>
      </c>
      <c r="AF2" s="15" t="str">
        <f>"update talang set key_name = '"&amp;E2&amp;"', basic_key_name = '"&amp;E2&amp;"',site_type = '"&amp;M2&amp;"', version_info = '"&amp;N2&amp;"',  upd_date = CONVERT(CHAR(8),GETDATE(),112)  where lang = 'ko' and key_type =  '"&amp;K2&amp;"' and key_no =  '"&amp;L2&amp;"' ; "</f>
        <v xml:space="preserve">update talang set key_name = '정기점검실행목록', basic_key_name = '정기점검실행목록',site_type = 'DREAM', version_info = '2.00',  upd_date = CONVERT(CHAR(8),GETDATE(),112)  where lang = 'ko' and key_type =  'TAB' and key_no =  'workPmiDetail' ; </v>
      </c>
      <c r="AG2" s="15" t="str">
        <f>" insert into talang(lang_id, lang, key_type, key_no, key_name, upd_date,is_comm_js_use, use_web, use_android, cre_date, site_type, version_info, basic_key_name) values(next value for sqalang_id, 'en', replace('"&amp;K2&amp;"',' ',''), replace('"&amp;L2&amp;"',' ',''), '"&amp;F2&amp;"', CONVERT(CHAR(8),GETDATE(),112)+REPLACE(CONVERT(CHAR(8),GETDATE(),108),':',''),'N','Y','N',CONVERT(CHAR(8),GETDATE(),112)+REPLACE(CONVERT(CHAR(8),GETDATE(),108),':',''),replace('"&amp;M2&amp;"',' ',''), replace('"&amp;N2&amp;"',' ',''), '"&amp;F2&amp;"'); "</f>
        <v xml:space="preserve"> insert into talang(lang_id, lang, key_type, key_no, key_name, upd_date,is_comm_js_use, use_web, use_android, cre_date, site_type, version_info, basic_key_name) values(next value for sqalang_id, 'en', replace('TAB',' ',''), replace('workPmiDetail',' ',''), 'PMI Execute List', CONVERT(CHAR(8),GETDATE(),112)+REPLACE(CONVERT(CHAR(8),GETDATE(),108),':',''),'N','Y','N',CONVERT(CHAR(8),GETDATE(),112)+REPLACE(CONVERT(CHAR(8),GETDATE(),108),':',''),replace('DREAM',' ',''), replace('2.00',' ',''), 'PMI Execute List'); </v>
      </c>
      <c r="AH2" s="15" t="str">
        <f>"update talang set key_name = '"&amp;G2&amp;"', basic_key_name = '"&amp;G2&amp;"',site_type = '"&amp;M2&amp;"', version_info = '"&amp;N2&amp;"',  upd_date = CONVERT(CHAR(8),GETDATE(),112)  where lang = 'en' and key_type =  '"&amp;K2&amp;"' and key_no =  '"&amp;L2&amp;"' ; "</f>
        <v xml:space="preserve">update talang set key_name = '', basic_key_name = '',site_type = 'DREAM', version_info = '2.00',  upd_date = CONVERT(CHAR(8),GETDATE(),112)  where lang = 'en' and key_type =  'TAB' and key_no =  'workPmiDetail' ; </v>
      </c>
      <c r="AI2" s="15" t="str">
        <f>" insert into talang(lang_id, lang, key_type, key_no, key_name, upd_date,is_comm_js_use, use_web, use_android, cre_date, site_type, version_info, basic_key_name) values(next value for sqalang_id, 'cn', replace('"&amp;K2&amp;"',' ',''), replace('"&amp;L2&amp;"',' ',''), '"&amp;G2&amp;"', CONVERT(CHAR(8),GETDATE(),112)+REPLACE(CONVERT(CHAR(8),GETDATE(),108),':',''),'N','Y','N',CONVERT(CHAR(8),GETDATE(),112)+REPLACE(CONVERT(CHAR(8),GETDATE(),108),':',''),replace('"&amp;M2&amp;"',' ',''), replace('"&amp;N2&amp;"',' ',''), '"&amp;G2&amp;"'); "</f>
        <v xml:space="preserve"> insert into talang(lang_id, lang, key_type, key_no, key_name, upd_date,is_comm_js_use, use_web, use_android, cre_date, site_type, version_info, basic_key_name) values(next value for sqalang_id, 'cn', replace('TAB',' ',''), replace('workPmiDetail',' ',''), '', CONVERT(CHAR(8),GETDATE(),112)+REPLACE(CONVERT(CHAR(8),GETDATE(),108),':',''),'N','Y','N',CONVERT(CHAR(8),GETDATE(),112)+REPLACE(CONVERT(CHAR(8),GETDATE(),108),':',''),replace('DREAM',' ',''), replace('2.00',' ',''), ''); </v>
      </c>
      <c r="AJ2" s="15" t="str">
        <f>"update talang set key_name = '"&amp;G2&amp;"', basic_key_name = '"&amp;G2&amp;"',site_type = '"&amp;M2&amp;"', version_info = '"&amp;N2&amp;"',  upd_date = CONVERT(CHAR(8),GETDATE(),112) where lang = 'cn' and key_type =  '"&amp;K2&amp;"' and key_no =  '"&amp;L2&amp;"' ; "</f>
        <v xml:space="preserve">update talang set key_name = '', basic_key_name = '',site_type = 'DREAM', version_info = '2.00',  upd_date = CONVERT(CHAR(8),GETDATE(),112) where lang = 'cn' and key_type =  'TAB' and key_no =  'workPmiDetail' ; </v>
      </c>
      <c r="AK2" s="12" t="s">
        <v>33</v>
      </c>
      <c r="AL2" s="30" t="str">
        <f>"INSERT INTO TAPGPAGE (pgpage_id, page_id, c_page_id, ord_no, is_use, key_type, key_no, file_name, c_file_name, site_type, version_info, basic_key_type, basic_key_no, cre_date, upd_date) VALUES (SQAPGPAGE_ID.NEXTVAL, "&amp;Q2&amp;", "&amp;R2&amp;",  '"&amp;TRIM(I2)&amp;"',  'N',  '"&amp;TRIM(K2)&amp;"',  '"&amp;TRIM(L2)&amp;"',  '"&amp;TRIM(C2)&amp;"',  '"&amp;TRIM(D2)&amp;"',  '"&amp;TRIM(M2)&amp;"',  '"&amp;TRIM(N2)&amp;"',  '"&amp;TRIM(K2)&amp;"',  '"&amp;TRIM(L2)&amp;"',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file_name='workPmiList') ,  (select page_id from tapage where file_name='workPmiDetail') ,  '110',  'N',  'TAB',  'workPmiDetail',  'workPmiList',  'workPmiDetail',  'DREAM',  '2.00',  'TAB',  'workPmiDetail', to_char(sysdate, 'yyyymmddhh24miss'), to_char(sysdate, 'yyyymmddhh24miss'));</v>
      </c>
      <c r="AM2" s="30" t="str">
        <f>"INSERT INTO TAPGPAGE (pgpage_id, page_id, c_page_id, ord_no, is_use, key_type, key_no, file_name, c_file_name, site_type, version_info, basic_key_type, basic_key_no, cre_date, upd_date) VALUES (next value for SQAPGPAGE_ID, "&amp;Q2&amp;", "&amp;R2&amp;",  replace('"&amp;I2&amp;"', ' ',''),  'N',  replace('"&amp;K2&amp;"',' ',''),  replace('"&amp;L2&amp;"',' ',''),  replace('"&amp;C2&amp;"',' ',''),  replace('"&amp;D2&amp;"',' ',''),  replace('"&amp;M2&amp;"',' ',''),  replace('"&amp;N2&amp;"',' ',''),  replace('"&amp;K2&amp;"',' ',''),  replace('"&amp;L2&amp;"',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file_name='workPmiList') ,  (select page_id from tapage where file_name='workPmiDetail') ,  replace('110', ' ',''),  'N',  replace('TAB',' ',''),  replace('workPmiDetail',' ',''),  replace('workPmiList',' ',''),  replace('workPmiDetail',' ',''),  replace('DREAM',' ',''),  replace('2.00',' ',''),  replace('TAB',' ',''),  replace('workPmiDetail', ' ',''),CONVERT(CHAR(8),GETDATE(),112)+REPLACE(CONVERT(CHAR(8),GETDATE(),108),':',''),CONVERT(CHAR(8),GETDATE(),112)+REPLACE(CONVERT(CHAR(8),GETDATE(),108),':',''));</v>
      </c>
      <c r="AN2" s="12" t="s">
        <v>33</v>
      </c>
      <c r="AO2" s="30" t="str">
        <f>"INSERT INTO TAPGPAGE (pgpage_id, page_id, c_page_id, ord_no, is_use, key_type, key_no, file_name, c_file_name, site_type, version_info, basic_key_type, basic_key_no, cre_date, upd_date) VALUES (SQAPGPAGE_ID.NEXTVAL, "&amp;Q2&amp;", "&amp;R2&amp;",  '"&amp;TRIM(I2)&amp;"',  'Y',  '"&amp;TRIM(K2)&amp;"',  '"&amp;TRIM(L2)&amp;"',  '"&amp;TRIM(C2)&amp;"',  '"&amp;TRIM(D2)&amp;"',  '"&amp;TRIM(M2)&amp;"',  '"&amp;TRIM(N2)&amp;"',  '"&amp;TRIM(K2)&amp;"',  '"&amp;TRIM(L2)&amp;"',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file_name='workPmiList') ,  (select page_id from tapage where file_name='workPmiDetail') ,  '110',  'Y',  'TAB',  'workPmiDetail',  'workPmiList',  'workPmiDetail',  'DREAM',  '2.00',  'TAB',  'workPmiDetail', to_char(sysdate, 'yyyymmddhh24miss'), to_char(sysdate, 'yyyymmddhh24miss'));</v>
      </c>
      <c r="AP2" s="30" t="str">
        <f>" update tapgpage set is_use = '"&amp;J2&amp;"', ord_no = '"&amp;I2&amp;"', key_type = '"&amp;K2&amp;"', key_no= '"&amp;L2&amp;"' ,basic_key_type='"&amp;K2&amp;"',basic_key_no='"&amp;L2&amp;"',version_info='"&amp;N2&amp;"',site_type='"&amp;M2&amp;"', upd_date=to_char(sysdate, 'yyyymmddhh24miss')  where page_id="&amp;Q2&amp;" and c_page_id = "&amp;R2&amp;" ; "</f>
        <v xml:space="preserve"> update tapgpage set is_use = 'Y', ord_no = '110', key_type = 'TAB', key_no= 'workPmiDetail' ,basic_key_type='TAB',basic_key_no='workPmiDetail',version_info='2.00',site_type='DREAM', upd_date=to_char(sysdate, 'yyyymmddhh24miss')  where page_id= (select page_id from tapage where file_name='workPmiList')  and c_page_id =  (select page_id from tapage where file_name='workPmiDetail')  ; </v>
      </c>
      <c r="AQ2" s="30" t="str">
        <f>"INSERT INTO TAPGPAGE (pgpage_id, page_id, c_page_id, ord_no, is_use, key_type, key_no, file_name, c_file_name, site_type, version_info, basic_key_type, basic_key_no, cre_date, upd_date) VALUES (next value for SQAPGPAGE_ID, "&amp;Q2&amp;", "&amp;R2&amp;",  replace('"&amp;I2&amp;"', ' ',''),  'Y',  replace('"&amp;K2&amp;"',' ',''),  replace('"&amp;L2&amp;"',' ',''),  replace('"&amp;C2&amp;"',' ',''),  replace('"&amp;D2&amp;"',' ',''),  replace('"&amp;M2&amp;"',' ',''),  replace('"&amp;N2&amp;"',' ',''),  replace('"&amp;K2&amp;"',' ',''),  replace('"&amp;L2&amp;"',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file_name='workPmiList') ,  (select page_id from tapage where file_name='workPmiDetail') ,  replace('110', ' ',''),  'Y',  replace('TAB',' ',''),  replace('workPmiDetail',' ',''),  replace('workPmiList',' ',''),  replace('workPmiDetail',' ',''),  replace('DREAM',' ',''),  replace('2.00',' ',''),  replace('TAB',' ',''),  replace('workPmiDetail', ' ',''),CONVERT(CHAR(8),GETDATE(),112)+REPLACE(CONVERT(CHAR(8),GETDATE(),108),':',''),CONVERT(CHAR(8),GETDATE(),112)+REPLACE(CONVERT(CHAR(8),GETDATE(),108),':',''));</v>
      </c>
      <c r="AR2" s="30" t="str">
        <f>" update tapgpage set is_use = '"&amp;J2&amp;"', ord_no = '"&amp;I2&amp;"', key_type = '"&amp;K2&amp;"', key_no= '"&amp;L2&amp;"' ,basic_key_type='"&amp;K2&amp;"',basic_key_no='"&amp;L2&amp;"',version_info='"&amp;N2&amp;"',site_type='"&amp;M2&amp;"' where page_id="&amp;Q2&amp;" and c_page_id = "&amp;R2&amp;" ; "</f>
        <v xml:space="preserve"> update tapgpage set is_use = 'Y', ord_no = '110', key_type = 'TAB', key_no= 'workPmiDetail' ,basic_key_type='TAB',basic_key_no='workPmiDetail',version_info='2.00',site_type='DREAM' where page_id= (select page_id from tapage where file_name='workPmiList')  and c_page_id =  (select page_id from tapage where file_name='workPmiDetail')  ; </v>
      </c>
      <c r="AS2" s="12" t="s">
        <v>33</v>
      </c>
    </row>
    <row r="4" spans="1:45" x14ac:dyDescent="0.3">
      <c r="A4" s="15">
        <v>1</v>
      </c>
      <c r="B4" s="14" t="s">
        <v>36</v>
      </c>
      <c r="C4" s="15" t="s">
        <v>368</v>
      </c>
      <c r="D4" s="15" t="s">
        <v>344</v>
      </c>
      <c r="E4" s="15" t="s">
        <v>370</v>
      </c>
      <c r="F4" s="15" t="s">
        <v>311</v>
      </c>
      <c r="G4" s="15"/>
      <c r="H4" s="15" t="s">
        <v>381</v>
      </c>
      <c r="I4" s="16" t="s">
        <v>46</v>
      </c>
      <c r="J4" s="14" t="s">
        <v>297</v>
      </c>
      <c r="K4" s="16" t="s">
        <v>45</v>
      </c>
      <c r="L4" s="16" t="str">
        <f>D4</f>
        <v>workPmiList</v>
      </c>
      <c r="M4" s="16" t="s">
        <v>39</v>
      </c>
      <c r="N4" s="17" t="s">
        <v>40</v>
      </c>
      <c r="O4" s="15"/>
      <c r="Q4" s="15" t="str">
        <f t="shared" ref="Q4" si="1">" (select page_id from tapage where file_name='"&amp;C4&amp;"') "</f>
        <v xml:space="preserve"> (select page_id from tapage where file_name='workPmiListView') </v>
      </c>
      <c r="R4" s="15" t="str">
        <f t="shared" ref="R4" si="2">" (select page_id from tapage where file_name='"&amp;D4&amp;"') "</f>
        <v xml:space="preserve"> (select page_id from tapage where file_name='workPmiList') </v>
      </c>
      <c r="S4" t="s">
        <v>33</v>
      </c>
      <c r="T4" s="59" t="str">
        <f>"INSERT INTO TAPGPAGE (pgpage_id, page_id, c_page_id, ord_no, is_use, key_type, key_no, file_name, c_file_name, site_type, version_info, basic_key_type, basic_key_no, cre_date, upd_date) VALUES (SQAPGPAGE_ID.NEXTVAL, "&amp;Q4&amp;", "&amp;R4&amp;",  '"&amp;TRIM(I4)&amp;"',  '"&amp;TRIM(J4)&amp;"',  '"&amp;TRIM(K4)&amp;"',  '"&amp;TRIM(L4)&amp;"',  '"&amp;TRIM(C4)&amp;"',  '"&amp;TRIM(D4)&amp;"',  '"&amp;TRIM(M4)&amp;"',  '"&amp;TRIM(N4)&amp;"',  '"&amp;TRIM(K4)&amp;"',  '"&amp;TRIM(L4)&amp;"',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file_name='workPmiListView') ,  (select page_id from tapage where file_name='workPmiList') ,  '110',  'Y',  'TAB',  'workPmiList',  'workPmiListView',  'workPmiList',  'DREAM',  '2.00',  'TAB',  'workPmiList', to_char(sysdate, 'yyyymmddhh24miss'), to_char(sysdate, 'yyyymmddhh24miss'));</v>
      </c>
      <c r="U4" s="15" t="str">
        <f>" update tapgpage set is_use = '"&amp;J4&amp;"', ord_no = '"&amp;I4&amp;"', key_type = '"&amp;K4&amp;"', key_no= '"&amp;L4&amp;"' ,basic_key_type='"&amp;K4&amp;"',basic_key_no='"&amp;L4&amp;"',version_info='"&amp;N4&amp;"',site_type='"&amp;M4&amp;"', upd_date=to_char(sysdate, 'yyyymmddhh24miss')  where page_id="&amp;Q4&amp;" and c_page_id = "&amp;R4&amp;" ; "</f>
        <v xml:space="preserve"> update tapgpage set is_use = 'Y', ord_no = '110', key_type = 'TAB', key_no= 'workPmiList' ,basic_key_type='TAB',basic_key_no='workPmiList',version_info='2.00',site_type='DREAM', upd_date=to_char(sysdate, 'yyyymmddhh24miss')  where page_id= (select page_id from tapage where file_name='workPmiListView')  and c_page_id =  (select page_id from tapage where file_name='workPmiList')  ; </v>
      </c>
      <c r="V4" s="59" t="str">
        <f>" insert into talang(lang_id, lang, key_type, key_no, key_name, upd_date,is_comm_js_use, use_web, use_android, cre_date, site_type, version_info, basic_key_name) values(sqalang_id.nextval, 'ko','"&amp;K4&amp;"','"&amp;L4&amp;"','"&amp;E4&amp;"',to_char(sysdate, 'yyyymmddhh24miss'),'N','Y','N',to_char(sysdate, 'yyyymmddhh24miss'),'"&amp;M4&amp;"','"&amp;N4&amp;"','"&amp;E4&amp;"'); "</f>
        <v xml:space="preserve"> insert into talang(lang_id, lang, key_type, key_no, key_name, upd_date,is_comm_js_use, use_web, use_android, cre_date, site_type, version_info, basic_key_name) values(sqalang_id.nextval, 'ko','TAB','workPmiList','목록',to_char(sysdate, 'yyyymmddhh24miss'),'N','Y','N',to_char(sysdate, 'yyyymmddhh24miss'),'DREAM','2.00','목록'); </v>
      </c>
      <c r="W4" s="15" t="str">
        <f>"update talang set key_name = '"&amp;E4&amp;"', basic_key_name = '"&amp;E4&amp;"',site_type = '"&amp;M4&amp;"', version_info = '"&amp;N4&amp;"',  upd_date = to_char(sysdate, 'yyyymmddhh24miss')  where lang = 'ko' and key_type =  '"&amp;K4&amp;"' and key_no =  '"&amp;L4&amp;"' ; "</f>
        <v xml:space="preserve">update talang set key_name = '목록', basic_key_name = '목록',site_type = 'DREAM', version_info = '2.00',  upd_date = to_char(sysdate, 'yyyymmddhh24miss')  where lang = 'ko' and key_type =  'TAB' and key_no =  'workPmiList' ; </v>
      </c>
      <c r="X4" s="15" t="str">
        <f>" insert into talang(lang_id, lang, key_type, key_no, key_name, upd_date,is_comm_js_use, use_web, use_android, cre_date, site_type, version_info, basic_key_name) values(sqalang_id.nextval, 'en','"&amp;K4&amp;"','"&amp;L4&amp;"','"&amp;F4&amp;"',to_char(sysdate, 'yyyymmddhh24miss'),'N','Y','N',to_char(sysdate, 'yyyymmddhh24miss'),'"&amp;M4&amp;"','"&amp;N4&amp;"','"&amp;F4&amp;"'); "</f>
        <v xml:space="preserve"> insert into talang(lang_id, lang, key_type, key_no, key_name, upd_date,is_comm_js_use, use_web, use_android, cre_date, site_type, version_info, basic_key_name) values(sqalang_id.nextval, 'en','TAB','workPmiList','PMI Execute List',to_char(sysdate, 'yyyymmddhh24miss'),'N','Y','N',to_char(sysdate, 'yyyymmddhh24miss'),'DREAM','2.00','PMI Execute List'); </v>
      </c>
      <c r="Y4" s="15" t="str">
        <f>"update talang set key_name = '"&amp;F4&amp;"', basic_key_name = '"&amp;F4&amp;"',site_type = '"&amp;M4&amp;"', version_info = '"&amp;N4&amp;"',  upd_date = to_char(sysdate, 'yyyymmddhh24miss')  where lang = 'en' and key_type =  '"&amp;K4&amp;"' and key_no =  '"&amp;L4&amp;"' ; "</f>
        <v xml:space="preserve">update talang set key_name = 'PMI Execute List', basic_key_name = 'PMI Execute List',site_type = 'DREAM', version_info = '2.00',  upd_date = to_char(sysdate, 'yyyymmddhh24miss')  where lang = 'en' and key_type =  'TAB' and key_no =  'workPmiList' ; </v>
      </c>
      <c r="Z4" s="15" t="str">
        <f>" insert into talang(lang_id, lang, key_type, key_no, key_name, upd_date,is_comm_js_use, use_web, use_android, cre_date, site_type, version_info, basic_key_name) values(sqalang_id.nextval, 'cn','"&amp;K4&amp;"','"&amp;L4&amp;"','"&amp;G4&amp;"',to_char(sysdate, 'yyyymmddhh24miss'),'N','Y','N',to_char(sysdate, 'yyyymmddhh24miss'),'"&amp;M4&amp;"','"&amp;N4&amp;"','"&amp;G4&amp;"'); "</f>
        <v xml:space="preserve"> insert into talang(lang_id, lang, key_type, key_no, key_name, upd_date,is_comm_js_use, use_web, use_android, cre_date, site_type, version_info, basic_key_name) values(sqalang_id.nextval, 'cn','TAB','workPmiList','',to_char(sysdate, 'yyyymmddhh24miss'),'N','Y','N',to_char(sysdate, 'yyyymmddhh24miss'),'DREAM','2.00',''); </v>
      </c>
      <c r="AA4" s="15" t="str">
        <f>"update talang set key_name = '"&amp;G4&amp;"', basic_key_name = '"&amp;G4&amp;"',site_type = '"&amp;M4&amp;"', version_info = '"&amp;N4&amp;"',  upd_date = to_char(sysdate, 'yyyymmddhh24miss')  where lang = 'cn' and key_type =  '"&amp;K4&amp;"' and key_no =  '"&amp;L4&amp;"' ; "</f>
        <v xml:space="preserve">update talang set key_name = '', basic_key_name = '',site_type = 'DREAM', version_info = '2.00',  upd_date = to_char(sysdate, 'yyyymmddhh24miss')  where lang = 'cn' and key_type =  'TAB' and key_no =  'workPmiList' ; </v>
      </c>
      <c r="AB4" s="12" t="s">
        <v>33</v>
      </c>
      <c r="AC4" s="59" t="str">
        <f>"INSERT INTO TAPGPAGE (pgpage_id, page_id, c_page_id, ord_no, is_use, key_type, key_no, file_name, c_file_name, site_type, version_info, basic_key_type, basic_key_no, cre_date, upd_date) VALUES (next value for SQAPGPAGE_ID, "&amp;Q4&amp;", "&amp;R4&amp;",  replace('"&amp;I4&amp;"', ' ',''),  replace('"&amp;J4&amp;"',' ',''),  replace('"&amp;K4&amp;"',' ',''),  replace('"&amp;L4&amp;"',' ',''),  replace('"&amp;C4&amp;"',' ',''),  replace('"&amp;D4&amp;"',' ',''),  replace('"&amp;M4&amp;"',' ',''),  replace('"&amp;N4&amp;"',' ',''),  replace('"&amp;K4&amp;"',' ',''),  replace('"&amp;L4&amp;"',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file_name='workPmiListView') ,  (select page_id from tapage where file_name='workPmiList') ,  replace('110', ' ',''),  replace('Y',' ',''),  replace('TAB',' ',''),  replace('workPmiList',' ',''),  replace('workPmiListView',' ',''),  replace('workPmiList',' ',''),  replace('DREAM',' ',''),  replace('2.00',' ',''),  replace('TAB',' ',''),  replace('workPmiList', ' ',''),CONVERT(CHAR(8),GETDATE(),112)+REPLACE(CONVERT(CHAR(8),GETDATE(),108),':',''),CONVERT(CHAR(8),GETDATE(),112)+REPLACE(CONVERT(CHAR(8),GETDATE(),108),':',''));</v>
      </c>
      <c r="AD4" s="15" t="str">
        <f>" update tapgpage set is_use = '"&amp;J4&amp;"', ord_no = '"&amp;I4&amp;"', key_type = '"&amp;K4&amp;"', key_no= '"&amp;L4&amp;"' ,basic_key_type='"&amp;K4&amp;"',basic_key_no='"&amp;L4&amp;"',version_info='"&amp;N4&amp;"',site_type='"&amp;M4&amp;"' where page_id="&amp;Q4&amp;" and c_page_id = "&amp;R4&amp;" ; "</f>
        <v xml:space="preserve"> update tapgpage set is_use = 'Y', ord_no = '110', key_type = 'TAB', key_no= 'workPmiList' ,basic_key_type='TAB',basic_key_no='workPmiList',version_info='2.00',site_type='DREAM' where page_id= (select page_id from tapage where file_name='workPmiListView')  and c_page_id =  (select page_id from tapage where file_name='workPmiList')  ; </v>
      </c>
      <c r="AE4" s="59" t="str">
        <f>" insert into talang(lang_id, lang, key_type, key_no, key_name, upd_date,is_comm_js_use, use_web, use_android, cre_date, site_type, version_info, basic_key_name) values(next value for sqalang_id, 'ko', replace('"&amp;K4&amp;"',' ',''), replace('"&amp;L4&amp;"',' ',''), '"&amp;E4&amp;"', CONVERT(CHAR(8),GETDATE(),112)+REPLACE(CONVERT(CHAR(8),GETDATE(),108),':',''),'N','Y','N',CONVERT(CHAR(8),GETDATE(),112)+REPLACE(CONVERT(CHAR(8),GETDATE(),108),':',''),replace('"&amp;M4&amp;"',' ',''), replace('"&amp;N4&amp;"',' ',''), '"&amp;E4&amp;"'); "</f>
        <v xml:space="preserve"> insert into talang(lang_id, lang, key_type, key_no, key_name, upd_date,is_comm_js_use, use_web, use_android, cre_date, site_type, version_info, basic_key_name) values(next value for sqalang_id, 'ko', replace('TAB',' ',''), replace('workPmiList',' ',''), '목록', CONVERT(CHAR(8),GETDATE(),112)+REPLACE(CONVERT(CHAR(8),GETDATE(),108),':',''),'N','Y','N',CONVERT(CHAR(8),GETDATE(),112)+REPLACE(CONVERT(CHAR(8),GETDATE(),108),':',''),replace('DREAM',' ',''), replace('2.00',' ',''), '목록'); </v>
      </c>
      <c r="AF4" s="15" t="str">
        <f>"update talang set key_name = '"&amp;E4&amp;"', basic_key_name = '"&amp;E4&amp;"',site_type = '"&amp;M4&amp;"', version_info = '"&amp;N4&amp;"',  upd_date = CONVERT(CHAR(8),GETDATE(),112)  where lang = 'ko' and key_type =  '"&amp;K4&amp;"' and key_no =  '"&amp;L4&amp;"' ; "</f>
        <v xml:space="preserve">update talang set key_name = '목록', basic_key_name = '목록',site_type = 'DREAM', version_info = '2.00',  upd_date = CONVERT(CHAR(8),GETDATE(),112)  where lang = 'ko' and key_type =  'TAB' and key_no =  'workPmiList' ; </v>
      </c>
      <c r="AG4" s="15" t="str">
        <f>" insert into talang(lang_id, lang, key_type, key_no, key_name, upd_date,is_comm_js_use, use_web, use_android, cre_date, site_type, version_info, basic_key_name) values(next value for sqalang_id, 'en', replace('"&amp;K4&amp;"',' ',''), replace('"&amp;L4&amp;"',' ',''), '"&amp;F4&amp;"', CONVERT(CHAR(8),GETDATE(),112)+REPLACE(CONVERT(CHAR(8),GETDATE(),108),':',''),'N','Y','N',CONVERT(CHAR(8),GETDATE(),112)+REPLACE(CONVERT(CHAR(8),GETDATE(),108),':',''),replace('"&amp;M4&amp;"',' ',''), replace('"&amp;N4&amp;"',' ',''), '"&amp;F4&amp;"'); "</f>
        <v xml:space="preserve"> insert into talang(lang_id, lang, key_type, key_no, key_name, upd_date,is_comm_js_use, use_web, use_android, cre_date, site_type, version_info, basic_key_name) values(next value for sqalang_id, 'en', replace('TAB',' ',''), replace('workPmiList',' ',''), 'PMI Execute List', CONVERT(CHAR(8),GETDATE(),112)+REPLACE(CONVERT(CHAR(8),GETDATE(),108),':',''),'N','Y','N',CONVERT(CHAR(8),GETDATE(),112)+REPLACE(CONVERT(CHAR(8),GETDATE(),108),':',''),replace('DREAM',' ',''), replace('2.00',' ',''), 'PMI Execute List'); </v>
      </c>
      <c r="AH4" s="15" t="str">
        <f>"update talang set key_name = '"&amp;G4&amp;"', basic_key_name = '"&amp;G4&amp;"',site_type = '"&amp;M4&amp;"', version_info = '"&amp;N4&amp;"',  upd_date = CONVERT(CHAR(8),GETDATE(),112)  where lang = 'en' and key_type =  '"&amp;K4&amp;"' and key_no =  '"&amp;L4&amp;"' ; "</f>
        <v xml:space="preserve">update talang set key_name = '', basic_key_name = '',site_type = 'DREAM', version_info = '2.00',  upd_date = CONVERT(CHAR(8),GETDATE(),112)  where lang = 'en' and key_type =  'TAB' and key_no =  'workPmiList' ; </v>
      </c>
      <c r="AI4" s="15" t="str">
        <f>" insert into talang(lang_id, lang, key_type, key_no, key_name, upd_date,is_comm_js_use, use_web, use_android, cre_date, site_type, version_info, basic_key_name) values(next value for sqalang_id, 'cn', replace('"&amp;K4&amp;"',' ',''), replace('"&amp;L4&amp;"',' ',''), '"&amp;G4&amp;"', CONVERT(CHAR(8),GETDATE(),112)+REPLACE(CONVERT(CHAR(8),GETDATE(),108),':',''),'N','Y','N',CONVERT(CHAR(8),GETDATE(),112)+REPLACE(CONVERT(CHAR(8),GETDATE(),108),':',''),replace('"&amp;M4&amp;"',' ',''), replace('"&amp;N4&amp;"',' ',''), '"&amp;G4&amp;"'); "</f>
        <v xml:space="preserve"> insert into talang(lang_id, lang, key_type, key_no, key_name, upd_date,is_comm_js_use, use_web, use_android, cre_date, site_type, version_info, basic_key_name) values(next value for sqalang_id, 'cn', replace('TAB',' ',''), replace('workPmiList',' ',''), '', CONVERT(CHAR(8),GETDATE(),112)+REPLACE(CONVERT(CHAR(8),GETDATE(),108),':',''),'N','Y','N',CONVERT(CHAR(8),GETDATE(),112)+REPLACE(CONVERT(CHAR(8),GETDATE(),108),':',''),replace('DREAM',' ',''), replace('2.00',' ',''), ''); </v>
      </c>
      <c r="AJ4" s="15" t="str">
        <f>"update talang set key_name = '"&amp;G4&amp;"', basic_key_name = '"&amp;G4&amp;"',site_type = '"&amp;M4&amp;"', version_info = '"&amp;N4&amp;"',  upd_date = CONVERT(CHAR(8),GETDATE(),112) where lang = 'cn' and key_type =  '"&amp;K4&amp;"' and key_no =  '"&amp;L4&amp;"' ; "</f>
        <v xml:space="preserve">update talang set key_name = '', basic_key_name = '',site_type = 'DREAM', version_info = '2.00',  upd_date = CONVERT(CHAR(8),GETDATE(),112) where lang = 'cn' and key_type =  'TAB' and key_no =  'workPmiList' ; </v>
      </c>
      <c r="AK4" s="12" t="s">
        <v>33</v>
      </c>
      <c r="AL4" s="30" t="str">
        <f>"INSERT INTO TAPGPAGE (pgpage_id, page_id, c_page_id, ord_no, is_use, key_type, key_no, file_name, c_file_name, site_type, version_info, basic_key_type, basic_key_no, cre_date, upd_date) VALUES (SQAPGPAGE_ID.NEXTVAL, "&amp;Q4&amp;", "&amp;R4&amp;",  '"&amp;TRIM(I4)&amp;"',  'N',  '"&amp;TRIM(K4)&amp;"',  '"&amp;TRIM(L4)&amp;"',  '"&amp;TRIM(C4)&amp;"',  '"&amp;TRIM(D4)&amp;"',  '"&amp;TRIM(M4)&amp;"',  '"&amp;TRIM(N4)&amp;"',  '"&amp;TRIM(K4)&amp;"',  '"&amp;TRIM(L4)&amp;"',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file_name='workPmiListView') ,  (select page_id from tapage where file_name='workPmiList') ,  '110',  'N',  'TAB',  'workPmiList',  'workPmiListView',  'workPmiList',  'DREAM',  '2.00',  'TAB',  'workPmiList', to_char(sysdate, 'yyyymmddhh24miss'), to_char(sysdate, 'yyyymmddhh24miss'));</v>
      </c>
      <c r="AM4" s="30" t="str">
        <f>"INSERT INTO TAPGPAGE (pgpage_id, page_id, c_page_id, ord_no, is_use, key_type, key_no, file_name, c_file_name, site_type, version_info, basic_key_type, basic_key_no, cre_date, upd_date) VALUES (next value for SQAPGPAGE_ID, "&amp;Q4&amp;", "&amp;R4&amp;",  replace('"&amp;I4&amp;"', ' ',''),  'N',  replace('"&amp;K4&amp;"',' ',''),  replace('"&amp;L4&amp;"',' ',''),  replace('"&amp;C4&amp;"',' ',''),  replace('"&amp;D4&amp;"',' ',''),  replace('"&amp;M4&amp;"',' ',''),  replace('"&amp;N4&amp;"',' ',''),  replace('"&amp;K4&amp;"',' ',''),  replace('"&amp;L4&amp;"',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file_name='workPmiListView') ,  (select page_id from tapage where file_name='workPmiList') ,  replace('110', ' ',''),  'N',  replace('TAB',' ',''),  replace('workPmiList',' ',''),  replace('workPmiListView',' ',''),  replace('workPmiList',' ',''),  replace('DREAM',' ',''),  replace('2.00',' ',''),  replace('TAB',' ',''),  replace('workPmiList', ' ',''),CONVERT(CHAR(8),GETDATE(),112)+REPLACE(CONVERT(CHAR(8),GETDATE(),108),':',''),CONVERT(CHAR(8),GETDATE(),112)+REPLACE(CONVERT(CHAR(8),GETDATE(),108),':',''));</v>
      </c>
      <c r="AN4" s="12" t="s">
        <v>33</v>
      </c>
      <c r="AO4" s="30" t="str">
        <f>"INSERT INTO TAPGPAGE (pgpage_id, page_id, c_page_id, ord_no, is_use, key_type, key_no, file_name, c_file_name, site_type, version_info, basic_key_type, basic_key_no, cre_date, upd_date) VALUES (SQAPGPAGE_ID.NEXTVAL, "&amp;Q4&amp;", "&amp;R4&amp;",  '"&amp;TRIM(I4)&amp;"',  'Y',  '"&amp;TRIM(K4)&amp;"',  '"&amp;TRIM(L4)&amp;"',  '"&amp;TRIM(C4)&amp;"',  '"&amp;TRIM(D4)&amp;"',  '"&amp;TRIM(M4)&amp;"',  '"&amp;TRIM(N4)&amp;"',  '"&amp;TRIM(K4)&amp;"',  '"&amp;TRIM(L4)&amp;"',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file_name='workPmiListView') ,  (select page_id from tapage where file_name='workPmiList') ,  '110',  'Y',  'TAB',  'workPmiList',  'workPmiListView',  'workPmiList',  'DREAM',  '2.00',  'TAB',  'workPmiList', to_char(sysdate, 'yyyymmddhh24miss'), to_char(sysdate, 'yyyymmddhh24miss'));</v>
      </c>
      <c r="AP4" s="30" t="str">
        <f>" update tapgpage set is_use = '"&amp;J4&amp;"', ord_no = '"&amp;I4&amp;"', key_type = '"&amp;K4&amp;"', key_no= '"&amp;L4&amp;"' ,basic_key_type='"&amp;K4&amp;"',basic_key_no='"&amp;L4&amp;"',version_info='"&amp;N4&amp;"',site_type='"&amp;M4&amp;"', upd_date=to_char(sysdate, 'yyyymmddhh24miss')  where page_id="&amp;Q4&amp;" and c_page_id = "&amp;R4&amp;" ; "</f>
        <v xml:space="preserve"> update tapgpage set is_use = 'Y', ord_no = '110', key_type = 'TAB', key_no= 'workPmiList' ,basic_key_type='TAB',basic_key_no='workPmiList',version_info='2.00',site_type='DREAM', upd_date=to_char(sysdate, 'yyyymmddhh24miss')  where page_id= (select page_id from tapage where file_name='workPmiListView')  and c_page_id =  (select page_id from tapage where file_name='workPmiList')  ; </v>
      </c>
      <c r="AQ4" s="30" t="str">
        <f>"INSERT INTO TAPGPAGE (pgpage_id, page_id, c_page_id, ord_no, is_use, key_type, key_no, file_name, c_file_name, site_type, version_info, basic_key_type, basic_key_no, cre_date, upd_date) VALUES (next value for SQAPGPAGE_ID, "&amp;Q4&amp;", "&amp;R4&amp;",  replace('"&amp;I4&amp;"', ' ',''),  'Y',  replace('"&amp;K4&amp;"',' ',''),  replace('"&amp;L4&amp;"',' ',''),  replace('"&amp;C4&amp;"',' ',''),  replace('"&amp;D4&amp;"',' ',''),  replace('"&amp;M4&amp;"',' ',''),  replace('"&amp;N4&amp;"',' ',''),  replace('"&amp;K4&amp;"',' ',''),  replace('"&amp;L4&amp;"',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file_name='workPmiListView') ,  (select page_id from tapage where file_name='workPmiList') ,  replace('110', ' ',''),  'Y',  replace('TAB',' ',''),  replace('workPmiList',' ',''),  replace('workPmiListView',' ',''),  replace('workPmiList',' ',''),  replace('DREAM',' ',''),  replace('2.00',' ',''),  replace('TAB',' ',''),  replace('workPmiList', ' ',''),CONVERT(CHAR(8),GETDATE(),112)+REPLACE(CONVERT(CHAR(8),GETDATE(),108),':',''),CONVERT(CHAR(8),GETDATE(),112)+REPLACE(CONVERT(CHAR(8),GETDATE(),108),':',''));</v>
      </c>
      <c r="AR4" s="30" t="str">
        <f>" update tapgpage set is_use = '"&amp;J4&amp;"', ord_no = '"&amp;I4&amp;"', key_type = '"&amp;K4&amp;"', key_no= '"&amp;L4&amp;"' ,basic_key_type='"&amp;K4&amp;"',basic_key_no='"&amp;L4&amp;"',version_info='"&amp;N4&amp;"',site_type='"&amp;M4&amp;"' where page_id="&amp;Q4&amp;" and c_page_id = "&amp;R4&amp;" ; "</f>
        <v xml:space="preserve"> update tapgpage set is_use = 'Y', ord_no = '110', key_type = 'TAB', key_no= 'workPmiList' ,basic_key_type='TAB',basic_key_no='workPmiList',version_info='2.00',site_type='DREAM' where page_id= (select page_id from tapage where file_name='workPmiListView')  and c_page_id =  (select page_id from tapage where file_name='workPmiList')  ; </v>
      </c>
      <c r="AS4" s="12" t="s">
        <v>33</v>
      </c>
    </row>
    <row r="5" spans="1:45" x14ac:dyDescent="0.3">
      <c r="A5" s="15">
        <v>1</v>
      </c>
      <c r="B5" s="14" t="s">
        <v>36</v>
      </c>
      <c r="C5" s="15" t="s">
        <v>368</v>
      </c>
      <c r="D5" s="15" t="s">
        <v>369</v>
      </c>
      <c r="E5" s="15" t="s">
        <v>371</v>
      </c>
      <c r="F5" s="15" t="s">
        <v>372</v>
      </c>
      <c r="G5" s="15"/>
      <c r="H5" s="15" t="s">
        <v>383</v>
      </c>
      <c r="I5" s="16" t="s">
        <v>301</v>
      </c>
      <c r="J5" s="14" t="s">
        <v>297</v>
      </c>
      <c r="K5" s="16" t="s">
        <v>45</v>
      </c>
      <c r="L5" s="16" t="str">
        <f>D5</f>
        <v>workCalPmRInsMonthList</v>
      </c>
      <c r="M5" s="16" t="s">
        <v>39</v>
      </c>
      <c r="N5" s="17" t="s">
        <v>40</v>
      </c>
      <c r="O5" s="15"/>
      <c r="Q5" s="15" t="str">
        <f t="shared" ref="Q5" si="3">" (select page_id from tapage where file_name='"&amp;C5&amp;"') "</f>
        <v xml:space="preserve"> (select page_id from tapage where file_name='workPmiListView') </v>
      </c>
      <c r="R5" s="15" t="str">
        <f t="shared" ref="R5" si="4">" (select page_id from tapage where file_name='"&amp;D5&amp;"') "</f>
        <v xml:space="preserve"> (select page_id from tapage where file_name='workCalPmRInsMonthList') </v>
      </c>
      <c r="S5" t="s">
        <v>33</v>
      </c>
      <c r="T5" s="59" t="str">
        <f>"INSERT INTO TAPGPAGE (pgpage_id, page_id, c_page_id, ord_no, is_use, key_type, key_no, file_name, c_file_name, site_type, version_info, basic_key_type, basic_key_no, cre_date, upd_date) VALUES (SQAPGPAGE_ID.NEXTVAL, "&amp;Q5&amp;", "&amp;R5&amp;",  '"&amp;TRIM(I5)&amp;"',  '"&amp;TRIM(J5)&amp;"',  '"&amp;TRIM(K5)&amp;"',  '"&amp;TRIM(L5)&amp;"',  '"&amp;TRIM(C5)&amp;"',  '"&amp;TRIM(D5)&amp;"',  '"&amp;TRIM(M5)&amp;"',  '"&amp;TRIM(N5)&amp;"',  '"&amp;TRIM(K5)&amp;"',  '"&amp;TRIM(L5)&amp;"',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file_name='workPmiListView') ,  (select page_id from tapage where file_name='workCalPmRInsMonthList') ,  '120',  'Y',  'TAB',  'workCalPmRInsMonthList',  'workPmiListView',  'workCalPmRInsMonthList',  'DREAM',  '2.00',  'TAB',  'workCalPmRInsMonthList', to_char(sysdate, 'yyyymmddhh24miss'), to_char(sysdate, 'yyyymmddhh24miss'));</v>
      </c>
      <c r="U5" s="15" t="str">
        <f>" update tapgpage set is_use = '"&amp;J5&amp;"', ord_no = '"&amp;I5&amp;"', key_type = '"&amp;K5&amp;"', key_no= '"&amp;L5&amp;"' ,basic_key_type='"&amp;K5&amp;"',basic_key_no='"&amp;L5&amp;"',version_info='"&amp;N5&amp;"',site_type='"&amp;M5&amp;"', upd_date=to_char(sysdate, 'yyyymmddhh24miss')  where page_id="&amp;Q5&amp;" and c_page_id = "&amp;R5&amp;" ; "</f>
        <v xml:space="preserve"> update tapgpage set is_use = 'Y', ord_no = '120', key_type = 'TAB', key_no= 'workCalPmRInsMonthList' ,basic_key_type='TAB',basic_key_no='workCalPmRInsMonthList',version_info='2.00',site_type='DREAM', upd_date=to_char(sysdate, 'yyyymmddhh24miss')  where page_id= (select page_id from tapage where file_name='workPmiListView')  and c_page_id =  (select page_id from tapage where file_name='workCalPmRInsMonthList')  ; </v>
      </c>
      <c r="V5" s="59" t="str">
        <f>" insert into talang(lang_id, lang, key_type, key_no, key_name, upd_date,is_comm_js_use, use_web, use_android, cre_date, site_type, version_info, basic_key_name) values(sqalang_id.nextval, 'ko','"&amp;K5&amp;"','"&amp;L5&amp;"','"&amp;E5&amp;"',to_char(sysdate, 'yyyymmddhh24miss'),'N','Y','N',to_char(sysdate, 'yyyymmddhh24miss'),'"&amp;M5&amp;"','"&amp;N5&amp;"','"&amp;E5&amp;"'); "</f>
        <v xml:space="preserve"> insert into talang(lang_id, lang, key_type, key_no, key_name, upd_date,is_comm_js_use, use_web, use_android, cre_date, site_type, version_info, basic_key_name) values(sqalang_id.nextval, 'ko','TAB','workCalPmRInsMonthList','월간',to_char(sysdate, 'yyyymmddhh24miss'),'N','Y','N',to_char(sysdate, 'yyyymmddhh24miss'),'DREAM','2.00','월간'); </v>
      </c>
      <c r="W5" s="15" t="str">
        <f>"update talang set key_name = '"&amp;E5&amp;"', basic_key_name = '"&amp;E5&amp;"',site_type = '"&amp;M5&amp;"', version_info = '"&amp;N5&amp;"',  upd_date = to_char(sysdate, 'yyyymmddhh24miss')  where lang = 'ko' and key_type =  '"&amp;K5&amp;"' and key_no =  '"&amp;L5&amp;"' ; "</f>
        <v xml:space="preserve">update talang set key_name = '월간', basic_key_name = '월간',site_type = 'DREAM', version_info = '2.00',  upd_date = to_char(sysdate, 'yyyymmddhh24miss')  where lang = 'ko' and key_type =  'TAB' and key_no =  'workCalPmRInsMonthList' ; </v>
      </c>
      <c r="X5" s="15" t="str">
        <f>" insert into talang(lang_id, lang, key_type, key_no, key_name, upd_date,is_comm_js_use, use_web, use_android, cre_date, site_type, version_info, basic_key_name) values(sqalang_id.nextval, 'en','"&amp;K5&amp;"','"&amp;L5&amp;"','"&amp;F5&amp;"',to_char(sysdate, 'yyyymmddhh24miss'),'N','Y','N',to_char(sysdate, 'yyyymmddhh24miss'),'"&amp;M5&amp;"','"&amp;N5&amp;"','"&amp;F5&amp;"'); "</f>
        <v xml:space="preserve"> insert into talang(lang_id, lang, key_type, key_no, key_name, upd_date,is_comm_js_use, use_web, use_android, cre_date, site_type, version_info, basic_key_name) values(sqalang_id.nextval, 'en','TAB','workCalPmRInsMonthList','Monthly Checkpoint Schedule',to_char(sysdate, 'yyyymmddhh24miss'),'N','Y','N',to_char(sysdate, 'yyyymmddhh24miss'),'DREAM','2.00','Monthly Checkpoint Schedule'); </v>
      </c>
      <c r="Y5" s="15" t="str">
        <f>"update talang set key_name = '"&amp;F5&amp;"', basic_key_name = '"&amp;F5&amp;"',site_type = '"&amp;M5&amp;"', version_info = '"&amp;N5&amp;"',  upd_date = to_char(sysdate, 'yyyymmddhh24miss')  where lang = 'en' and key_type =  '"&amp;K5&amp;"' and key_no =  '"&amp;L5&amp;"' ; "</f>
        <v xml:space="preserve">update talang set key_name = 'Monthly Checkpoint Schedule', basic_key_name = 'Monthly Checkpoint Schedule',site_type = 'DREAM', version_info = '2.00',  upd_date = to_char(sysdate, 'yyyymmddhh24miss')  where lang = 'en' and key_type =  'TAB' and key_no =  'workCalPmRInsMonthList' ; </v>
      </c>
      <c r="Z5" s="15" t="str">
        <f>" insert into talang(lang_id, lang, key_type, key_no, key_name, upd_date,is_comm_js_use, use_web, use_android, cre_date, site_type, version_info, basic_key_name) values(sqalang_id.nextval, 'cn','"&amp;K5&amp;"','"&amp;L5&amp;"','"&amp;G5&amp;"',to_char(sysdate, 'yyyymmddhh24miss'),'N','Y','N',to_char(sysdate, 'yyyymmddhh24miss'),'"&amp;M5&amp;"','"&amp;N5&amp;"','"&amp;G5&amp;"'); "</f>
        <v xml:space="preserve"> insert into talang(lang_id, lang, key_type, key_no, key_name, upd_date,is_comm_js_use, use_web, use_android, cre_date, site_type, version_info, basic_key_name) values(sqalang_id.nextval, 'cn','TAB','workCalPmRInsMonthList','',to_char(sysdate, 'yyyymmddhh24miss'),'N','Y','N',to_char(sysdate, 'yyyymmddhh24miss'),'DREAM','2.00',''); </v>
      </c>
      <c r="AA5" s="15" t="str">
        <f>"update talang set key_name = '"&amp;G5&amp;"', basic_key_name = '"&amp;G5&amp;"',site_type = '"&amp;M5&amp;"', version_info = '"&amp;N5&amp;"',  upd_date = to_char(sysdate, 'yyyymmddhh24miss')  where lang = 'cn' and key_type =  '"&amp;K5&amp;"' and key_no =  '"&amp;L5&amp;"' ; "</f>
        <v xml:space="preserve">update talang set key_name = '', basic_key_name = '',site_type = 'DREAM', version_info = '2.00',  upd_date = to_char(sysdate, 'yyyymmddhh24miss')  where lang = 'cn' and key_type =  'TAB' and key_no =  'workCalPmRInsMonthList' ; </v>
      </c>
      <c r="AB5" s="12" t="s">
        <v>33</v>
      </c>
      <c r="AC5" s="59" t="str">
        <f>"INSERT INTO TAPGPAGE (pgpage_id, page_id, c_page_id, ord_no, is_use, key_type, key_no, file_name, c_file_name, site_type, version_info, basic_key_type, basic_key_no, cre_date, upd_date) VALUES (next value for SQAPGPAGE_ID, "&amp;Q5&amp;", "&amp;R5&amp;",  replace('"&amp;I5&amp;"', ' ',''),  replace('"&amp;J5&amp;"',' ',''),  replace('"&amp;K5&amp;"',' ',''),  replace('"&amp;L5&amp;"',' ',''),  replace('"&amp;C5&amp;"',' ',''),  replace('"&amp;D5&amp;"',' ',''),  replace('"&amp;M5&amp;"',' ',''),  replace('"&amp;N5&amp;"',' ',''),  replace('"&amp;K5&amp;"',' ',''),  replace('"&amp;L5&amp;"',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file_name='workPmiListView') ,  (select page_id from tapage where file_name='workCalPmRInsMonthList') ,  replace('120', ' ',''),  replace('Y',' ',''),  replace('TAB',' ',''),  replace('workCalPmRInsMonthList',' ',''),  replace('workPmiListView',' ',''),  replace('workCalPmRInsMonthList',' ',''),  replace('DREAM',' ',''),  replace('2.00',' ',''),  replace('TAB',' ',''),  replace('workCalPmRInsMonthList', ' ',''),CONVERT(CHAR(8),GETDATE(),112)+REPLACE(CONVERT(CHAR(8),GETDATE(),108),':',''),CONVERT(CHAR(8),GETDATE(),112)+REPLACE(CONVERT(CHAR(8),GETDATE(),108),':',''));</v>
      </c>
      <c r="AD5" s="15" t="str">
        <f>" update tapgpage set is_use = '"&amp;J5&amp;"', ord_no = '"&amp;I5&amp;"', key_type = '"&amp;K5&amp;"', key_no= '"&amp;L5&amp;"' ,basic_key_type='"&amp;K5&amp;"',basic_key_no='"&amp;L5&amp;"',version_info='"&amp;N5&amp;"',site_type='"&amp;M5&amp;"' where page_id="&amp;Q5&amp;" and c_page_id = "&amp;R5&amp;" ; "</f>
        <v xml:space="preserve"> update tapgpage set is_use = 'Y', ord_no = '120', key_type = 'TAB', key_no= 'workCalPmRInsMonthList' ,basic_key_type='TAB',basic_key_no='workCalPmRInsMonthList',version_info='2.00',site_type='DREAM' where page_id= (select page_id from tapage where file_name='workPmiListView')  and c_page_id =  (select page_id from tapage where file_name='workCalPmRInsMonthList')  ; </v>
      </c>
      <c r="AE5" s="59" t="str">
        <f>" insert into talang(lang_id, lang, key_type, key_no, key_name, upd_date,is_comm_js_use, use_web, use_android, cre_date, site_type, version_info, basic_key_name) values(next value for sqalang_id, 'ko', replace('"&amp;K5&amp;"',' ',''), replace('"&amp;L5&amp;"',' ',''), '"&amp;E5&amp;"', CONVERT(CHAR(8),GETDATE(),112)+REPLACE(CONVERT(CHAR(8),GETDATE(),108),':',''),'N','Y','N',CONVERT(CHAR(8),GETDATE(),112)+REPLACE(CONVERT(CHAR(8),GETDATE(),108),':',''),replace('"&amp;M5&amp;"',' ',''), replace('"&amp;N5&amp;"',' ',''), '"&amp;E5&amp;"'); "</f>
        <v xml:space="preserve"> insert into talang(lang_id, lang, key_type, key_no, key_name, upd_date,is_comm_js_use, use_web, use_android, cre_date, site_type, version_info, basic_key_name) values(next value for sqalang_id, 'ko', replace('TAB',' ',''), replace('workCalPmRInsMonthList',' ',''), '월간', CONVERT(CHAR(8),GETDATE(),112)+REPLACE(CONVERT(CHAR(8),GETDATE(),108),':',''),'N','Y','N',CONVERT(CHAR(8),GETDATE(),112)+REPLACE(CONVERT(CHAR(8),GETDATE(),108),':',''),replace('DREAM',' ',''), replace('2.00',' ',''), '월간'); </v>
      </c>
      <c r="AF5" s="15" t="str">
        <f>"update talang set key_name = '"&amp;E5&amp;"', basic_key_name = '"&amp;E5&amp;"',site_type = '"&amp;M5&amp;"', version_info = '"&amp;N5&amp;"',  upd_date = CONVERT(CHAR(8),GETDATE(),112)  where lang = 'ko' and key_type =  '"&amp;K5&amp;"' and key_no =  '"&amp;L5&amp;"' ; "</f>
        <v xml:space="preserve">update talang set key_name = '월간', basic_key_name = '월간',site_type = 'DREAM', version_info = '2.00',  upd_date = CONVERT(CHAR(8),GETDATE(),112)  where lang = 'ko' and key_type =  'TAB' and key_no =  'workCalPmRInsMonthList' ; </v>
      </c>
      <c r="AG5" s="15" t="str">
        <f>" insert into talang(lang_id, lang, key_type, key_no, key_name, upd_date,is_comm_js_use, use_web, use_android, cre_date, site_type, version_info, basic_key_name) values(next value for sqalang_id, 'en', replace('"&amp;K5&amp;"',' ',''), replace('"&amp;L5&amp;"',' ',''), '"&amp;F5&amp;"', CONVERT(CHAR(8),GETDATE(),112)+REPLACE(CONVERT(CHAR(8),GETDATE(),108),':',''),'N','Y','N',CONVERT(CHAR(8),GETDATE(),112)+REPLACE(CONVERT(CHAR(8),GETDATE(),108),':',''),replace('"&amp;M5&amp;"',' ',''), replace('"&amp;N5&amp;"',' ',''), '"&amp;F5&amp;"'); "</f>
        <v xml:space="preserve"> insert into talang(lang_id, lang, key_type, key_no, key_name, upd_date,is_comm_js_use, use_web, use_android, cre_date, site_type, version_info, basic_key_name) values(next value for sqalang_id, 'en', replace('TAB',' ',''), replace('workCalPmRInsMonthList',' ',''), 'Monthly Checkpoint Schedule', CONVERT(CHAR(8),GETDATE(),112)+REPLACE(CONVERT(CHAR(8),GETDATE(),108),':',''),'N','Y','N',CONVERT(CHAR(8),GETDATE(),112)+REPLACE(CONVERT(CHAR(8),GETDATE(),108),':',''),replace('DREAM',' ',''), replace('2.00',' ',''), 'Monthly Checkpoint Schedule'); </v>
      </c>
      <c r="AH5" s="15" t="str">
        <f>"update talang set key_name = '"&amp;G5&amp;"', basic_key_name = '"&amp;G5&amp;"',site_type = '"&amp;M5&amp;"', version_info = '"&amp;N5&amp;"',  upd_date = CONVERT(CHAR(8),GETDATE(),112)  where lang = 'en' and key_type =  '"&amp;K5&amp;"' and key_no =  '"&amp;L5&amp;"' ; "</f>
        <v xml:space="preserve">update talang set key_name = '', basic_key_name = '',site_type = 'DREAM', version_info = '2.00',  upd_date = CONVERT(CHAR(8),GETDATE(),112)  where lang = 'en' and key_type =  'TAB' and key_no =  'workCalPmRInsMonthList' ; </v>
      </c>
      <c r="AI5" s="15" t="str">
        <f>" insert into talang(lang_id, lang, key_type, key_no, key_name, upd_date,is_comm_js_use, use_web, use_android, cre_date, site_type, version_info, basic_key_name) values(next value for sqalang_id, 'cn', replace('"&amp;K5&amp;"',' ',''), replace('"&amp;L5&amp;"',' ',''), '"&amp;G5&amp;"', CONVERT(CHAR(8),GETDATE(),112)+REPLACE(CONVERT(CHAR(8),GETDATE(),108),':',''),'N','Y','N',CONVERT(CHAR(8),GETDATE(),112)+REPLACE(CONVERT(CHAR(8),GETDATE(),108),':',''),replace('"&amp;M5&amp;"',' ',''), replace('"&amp;N5&amp;"',' ',''), '"&amp;G5&amp;"'); "</f>
        <v xml:space="preserve"> insert into talang(lang_id, lang, key_type, key_no, key_name, upd_date,is_comm_js_use, use_web, use_android, cre_date, site_type, version_info, basic_key_name) values(next value for sqalang_id, 'cn', replace('TAB',' ',''), replace('workCalPmRInsMonthList',' ',''), '', CONVERT(CHAR(8),GETDATE(),112)+REPLACE(CONVERT(CHAR(8),GETDATE(),108),':',''),'N','Y','N',CONVERT(CHAR(8),GETDATE(),112)+REPLACE(CONVERT(CHAR(8),GETDATE(),108),':',''),replace('DREAM',' ',''), replace('2.00',' ',''), ''); </v>
      </c>
      <c r="AJ5" s="15" t="str">
        <f>"update talang set key_name = '"&amp;G5&amp;"', basic_key_name = '"&amp;G5&amp;"',site_type = '"&amp;M5&amp;"', version_info = '"&amp;N5&amp;"',  upd_date = CONVERT(CHAR(8),GETDATE(),112) where lang = 'cn' and key_type =  '"&amp;K5&amp;"' and key_no =  '"&amp;L5&amp;"' ; "</f>
        <v xml:space="preserve">update talang set key_name = '', basic_key_name = '',site_type = 'DREAM', version_info = '2.00',  upd_date = CONVERT(CHAR(8),GETDATE(),112) where lang = 'cn' and key_type =  'TAB' and key_no =  'workCalPmRInsMonthList' ; </v>
      </c>
      <c r="AK5" s="12" t="s">
        <v>33</v>
      </c>
      <c r="AL5" s="30" t="str">
        <f>"INSERT INTO TAPGPAGE (pgpage_id, page_id, c_page_id, ord_no, is_use, key_type, key_no, file_name, c_file_name, site_type, version_info, basic_key_type, basic_key_no, cre_date, upd_date) VALUES (SQAPGPAGE_ID.NEXTVAL, "&amp;Q5&amp;", "&amp;R5&amp;",  '"&amp;TRIM(I5)&amp;"',  'N',  '"&amp;TRIM(K5)&amp;"',  '"&amp;TRIM(L5)&amp;"',  '"&amp;TRIM(C5)&amp;"',  '"&amp;TRIM(D5)&amp;"',  '"&amp;TRIM(M5)&amp;"',  '"&amp;TRIM(N5)&amp;"',  '"&amp;TRIM(K5)&amp;"',  '"&amp;TRIM(L5)&amp;"',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file_name='workPmiListView') ,  (select page_id from tapage where file_name='workCalPmRInsMonthList') ,  '120',  'N',  'TAB',  'workCalPmRInsMonthList',  'workPmiListView',  'workCalPmRInsMonthList',  'DREAM',  '2.00',  'TAB',  'workCalPmRInsMonthList', to_char(sysdate, 'yyyymmddhh24miss'), to_char(sysdate, 'yyyymmddhh24miss'));</v>
      </c>
      <c r="AM5" s="30" t="str">
        <f>"INSERT INTO TAPGPAGE (pgpage_id, page_id, c_page_id, ord_no, is_use, key_type, key_no, file_name, c_file_name, site_type, version_info, basic_key_type, basic_key_no, cre_date, upd_date) VALUES (next value for SQAPGPAGE_ID, "&amp;Q5&amp;", "&amp;R5&amp;",  replace('"&amp;I5&amp;"', ' ',''),  'N',  replace('"&amp;K5&amp;"',' ',''),  replace('"&amp;L5&amp;"',' ',''),  replace('"&amp;C5&amp;"',' ',''),  replace('"&amp;D5&amp;"',' ',''),  replace('"&amp;M5&amp;"',' ',''),  replace('"&amp;N5&amp;"',' ',''),  replace('"&amp;K5&amp;"',' ',''),  replace('"&amp;L5&amp;"',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file_name='workPmiListView') ,  (select page_id from tapage where file_name='workCalPmRInsMonthList') ,  replace('120', ' ',''),  'N',  replace('TAB',' ',''),  replace('workCalPmRInsMonthList',' ',''),  replace('workPmiListView',' ',''),  replace('workCalPmRInsMonthList',' ',''),  replace('DREAM',' ',''),  replace('2.00',' ',''),  replace('TAB',' ',''),  replace('workCalPmRInsMonthList', ' ',''),CONVERT(CHAR(8),GETDATE(),112)+REPLACE(CONVERT(CHAR(8),GETDATE(),108),':',''),CONVERT(CHAR(8),GETDATE(),112)+REPLACE(CONVERT(CHAR(8),GETDATE(),108),':',''));</v>
      </c>
      <c r="AN5" s="12" t="s">
        <v>33</v>
      </c>
      <c r="AO5" s="30" t="str">
        <f>"INSERT INTO TAPGPAGE (pgpage_id, page_id, c_page_id, ord_no, is_use, key_type, key_no, file_name, c_file_name, site_type, version_info, basic_key_type, basic_key_no, cre_date, upd_date) VALUES (SQAPGPAGE_ID.NEXTVAL, "&amp;Q5&amp;", "&amp;R5&amp;",  '"&amp;TRIM(I5)&amp;"',  'Y',  '"&amp;TRIM(K5)&amp;"',  '"&amp;TRIM(L5)&amp;"',  '"&amp;TRIM(C5)&amp;"',  '"&amp;TRIM(D5)&amp;"',  '"&amp;TRIM(M5)&amp;"',  '"&amp;TRIM(N5)&amp;"',  '"&amp;TRIM(K5)&amp;"',  '"&amp;TRIM(L5)&amp;"', to_char(sysdate, 'yyyymmddhh24miss'), to_char(sysdate, 'yyyymmddhh24miss'));"</f>
        <v>INSERT INTO TAPGPAGE (pgpage_id, page_id, c_page_id, ord_no, is_use, key_type, key_no, file_name, c_file_name, site_type, version_info, basic_key_type, basic_key_no, cre_date, upd_date) VALUES (SQAPGPAGE_ID.NEXTVAL,  (select page_id from tapage where file_name='workPmiListView') ,  (select page_id from tapage where file_name='workCalPmRInsMonthList') ,  '120',  'Y',  'TAB',  'workCalPmRInsMonthList',  'workPmiListView',  'workCalPmRInsMonthList',  'DREAM',  '2.00',  'TAB',  'workCalPmRInsMonthList', to_char(sysdate, 'yyyymmddhh24miss'), to_char(sysdate, 'yyyymmddhh24miss'));</v>
      </c>
      <c r="AP5" s="30" t="str">
        <f>" update tapgpage set is_use = '"&amp;J5&amp;"', ord_no = '"&amp;I5&amp;"', key_type = '"&amp;K5&amp;"', key_no= '"&amp;L5&amp;"' ,basic_key_type='"&amp;K5&amp;"',basic_key_no='"&amp;L5&amp;"',version_info='"&amp;N5&amp;"',site_type='"&amp;M5&amp;"', upd_date=to_char(sysdate, 'yyyymmddhh24miss')  where page_id="&amp;Q5&amp;" and c_page_id = "&amp;R5&amp;" ; "</f>
        <v xml:space="preserve"> update tapgpage set is_use = 'Y', ord_no = '120', key_type = 'TAB', key_no= 'workCalPmRInsMonthList' ,basic_key_type='TAB',basic_key_no='workCalPmRInsMonthList',version_info='2.00',site_type='DREAM', upd_date=to_char(sysdate, 'yyyymmddhh24miss')  where page_id= (select page_id from tapage where file_name='workPmiListView')  and c_page_id =  (select page_id from tapage where file_name='workCalPmRInsMonthList')  ; </v>
      </c>
      <c r="AQ5" s="30" t="str">
        <f>"INSERT INTO TAPGPAGE (pgpage_id, page_id, c_page_id, ord_no, is_use, key_type, key_no, file_name, c_file_name, site_type, version_info, basic_key_type, basic_key_no, cre_date, upd_date) VALUES (next value for SQAPGPAGE_ID, "&amp;Q5&amp;", "&amp;R5&amp;",  replace('"&amp;I5&amp;"', ' ',''),  'Y',  replace('"&amp;K5&amp;"',' ',''),  replace('"&amp;L5&amp;"',' ',''),  replace('"&amp;C5&amp;"',' ',''),  replace('"&amp;D5&amp;"',' ',''),  replace('"&amp;M5&amp;"',' ',''),  replace('"&amp;N5&amp;"',' ',''),  replace('"&amp;K5&amp;"',' ',''),  replace('"&amp;L5&amp;"', ' ',''),CONVERT(CHAR(8),GETDATE(),112)+REPLACE(CONVERT(CHAR(8),GETDATE(),108),':',''),CONVERT(CHAR(8),GETDATE(),112)+REPLACE(CONVERT(CHAR(8),GETDATE(),108),':',''));"</f>
        <v>INSERT INTO TAPGPAGE (pgpage_id, page_id, c_page_id, ord_no, is_use, key_type, key_no, file_name, c_file_name, site_type, version_info, basic_key_type, basic_key_no, cre_date, upd_date) VALUES (next value for SQAPGPAGE_ID,  (select page_id from tapage where file_name='workPmiListView') ,  (select page_id from tapage where file_name='workCalPmRInsMonthList') ,  replace('120', ' ',''),  'Y',  replace('TAB',' ',''),  replace('workCalPmRInsMonthList',' ',''),  replace('workPmiListView',' ',''),  replace('workCalPmRInsMonthList',' ',''),  replace('DREAM',' ',''),  replace('2.00',' ',''),  replace('TAB',' ',''),  replace('workCalPmRInsMonthList', ' ',''),CONVERT(CHAR(8),GETDATE(),112)+REPLACE(CONVERT(CHAR(8),GETDATE(),108),':',''),CONVERT(CHAR(8),GETDATE(),112)+REPLACE(CONVERT(CHAR(8),GETDATE(),108),':',''));</v>
      </c>
      <c r="AR5" s="30" t="str">
        <f>" update tapgpage set is_use = '"&amp;J5&amp;"', ord_no = '"&amp;I5&amp;"', key_type = '"&amp;K5&amp;"', key_no= '"&amp;L5&amp;"' ,basic_key_type='"&amp;K5&amp;"',basic_key_no='"&amp;L5&amp;"',version_info='"&amp;N5&amp;"',site_type='"&amp;M5&amp;"' where page_id="&amp;Q5&amp;" and c_page_id = "&amp;R5&amp;" ; "</f>
        <v xml:space="preserve"> update tapgpage set is_use = 'Y', ord_no = '120', key_type = 'TAB', key_no= 'workCalPmRInsMonthList' ,basic_key_type='TAB',basic_key_no='workCalPmRInsMonthList',version_info='2.00',site_type='DREAM' where page_id= (select page_id from tapage where file_name='workPmiListView')  and c_page_id =  (select page_id from tapage where file_name='workCalPmRInsMonthList')  ; </v>
      </c>
      <c r="AS5" s="12" t="s">
        <v>33</v>
      </c>
    </row>
  </sheetData>
  <autoFilter ref="A1:AK1" xr:uid="{00000000-0009-0000-0000-000002000000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7"/>
  <sheetViews>
    <sheetView zoomScale="85" zoomScaleNormal="85" workbookViewId="0">
      <selection activeCell="I24" sqref="I24"/>
    </sheetView>
  </sheetViews>
  <sheetFormatPr defaultRowHeight="16.5" x14ac:dyDescent="0.3"/>
  <cols>
    <col min="3" max="3" width="20.75" bestFit="1" customWidth="1"/>
    <col min="4" max="4" width="30" bestFit="1" customWidth="1"/>
    <col min="6" max="6" width="14.125" bestFit="1" customWidth="1"/>
    <col min="7" max="7" width="13" bestFit="1" customWidth="1"/>
    <col min="15" max="15" width="14.125" bestFit="1" customWidth="1"/>
  </cols>
  <sheetData>
    <row r="1" spans="1:59" s="13" customFormat="1" ht="66" x14ac:dyDescent="0.3">
      <c r="A1" s="18" t="s">
        <v>162</v>
      </c>
      <c r="B1" s="18" t="s">
        <v>163</v>
      </c>
      <c r="C1" s="18" t="s">
        <v>165</v>
      </c>
      <c r="D1" s="18" t="s">
        <v>169</v>
      </c>
      <c r="E1" s="19" t="s">
        <v>202</v>
      </c>
      <c r="F1" s="18" t="s">
        <v>203</v>
      </c>
      <c r="G1" s="19" t="s">
        <v>204</v>
      </c>
      <c r="H1" s="19" t="s">
        <v>205</v>
      </c>
      <c r="I1" s="19" t="s">
        <v>206</v>
      </c>
      <c r="J1" s="18" t="s">
        <v>190</v>
      </c>
      <c r="K1" s="18" t="s">
        <v>170</v>
      </c>
      <c r="L1" s="18" t="s">
        <v>171</v>
      </c>
      <c r="M1" s="18" t="s">
        <v>207</v>
      </c>
      <c r="N1" s="18" t="s">
        <v>172</v>
      </c>
      <c r="O1" s="18" t="s">
        <v>173</v>
      </c>
      <c r="P1" s="18" t="s">
        <v>174</v>
      </c>
      <c r="Q1" s="18" t="s">
        <v>34</v>
      </c>
      <c r="R1" s="18" t="s">
        <v>175</v>
      </c>
      <c r="S1"/>
      <c r="T1" s="31" t="s">
        <v>208</v>
      </c>
      <c r="U1" s="31" t="s">
        <v>209</v>
      </c>
      <c r="V1"/>
      <c r="W1" s="24" t="s">
        <v>210</v>
      </c>
      <c r="X1" s="24" t="s">
        <v>211</v>
      </c>
      <c r="Y1"/>
      <c r="Z1" s="32" t="s">
        <v>212</v>
      </c>
      <c r="AA1" s="32" t="s">
        <v>213</v>
      </c>
      <c r="AB1" s="32" t="s">
        <v>214</v>
      </c>
      <c r="AC1"/>
      <c r="AD1" s="31" t="s">
        <v>194</v>
      </c>
      <c r="AE1" s="33" t="s">
        <v>195</v>
      </c>
      <c r="AF1" s="49" t="s">
        <v>329</v>
      </c>
      <c r="AG1" s="49" t="s">
        <v>316</v>
      </c>
      <c r="AH1" s="49" t="s">
        <v>330</v>
      </c>
      <c r="AI1" s="49" t="s">
        <v>318</v>
      </c>
      <c r="AJ1" s="49" t="s">
        <v>331</v>
      </c>
      <c r="AK1" s="49" t="s">
        <v>320</v>
      </c>
      <c r="AL1"/>
      <c r="AM1" s="24" t="s">
        <v>215</v>
      </c>
      <c r="AN1" s="24" t="s">
        <v>216</v>
      </c>
      <c r="AO1" s="24" t="s">
        <v>334</v>
      </c>
      <c r="AP1" s="24" t="s">
        <v>335</v>
      </c>
      <c r="AQ1" s="24" t="s">
        <v>336</v>
      </c>
      <c r="AR1" s="24" t="s">
        <v>337</v>
      </c>
      <c r="AS1" s="24" t="s">
        <v>338</v>
      </c>
      <c r="AT1" s="24" t="s">
        <v>339</v>
      </c>
      <c r="AU1"/>
      <c r="AV1" s="34" t="s">
        <v>217</v>
      </c>
      <c r="AW1" s="35" t="s">
        <v>218</v>
      </c>
      <c r="AX1" s="26" t="s">
        <v>219</v>
      </c>
      <c r="AY1" s="26" t="s">
        <v>220</v>
      </c>
      <c r="AZ1"/>
      <c r="BA1" s="35" t="s">
        <v>221</v>
      </c>
      <c r="BB1" s="35" t="s">
        <v>222</v>
      </c>
      <c r="BC1" s="35" t="s">
        <v>340</v>
      </c>
      <c r="BD1" s="26" t="s">
        <v>223</v>
      </c>
      <c r="BE1" s="26" t="s">
        <v>224</v>
      </c>
      <c r="BF1" s="26" t="s">
        <v>341</v>
      </c>
      <c r="BG1"/>
    </row>
    <row r="2" spans="1:59" x14ac:dyDescent="0.3">
      <c r="A2" s="14">
        <v>1</v>
      </c>
      <c r="B2" s="14" t="s">
        <v>36</v>
      </c>
      <c r="C2" s="16" t="s">
        <v>42</v>
      </c>
      <c r="D2" s="16" t="s">
        <v>43</v>
      </c>
      <c r="E2" s="16" t="s">
        <v>6</v>
      </c>
      <c r="F2" s="16" t="s">
        <v>51</v>
      </c>
      <c r="G2" s="16" t="s">
        <v>7</v>
      </c>
      <c r="H2" s="16" t="s">
        <v>312</v>
      </c>
      <c r="I2" s="15"/>
      <c r="J2" s="16" t="s">
        <v>300</v>
      </c>
      <c r="K2" s="16" t="s">
        <v>38</v>
      </c>
      <c r="L2" s="16" t="s">
        <v>44</v>
      </c>
      <c r="M2" s="15"/>
      <c r="N2" s="16" t="s">
        <v>47</v>
      </c>
      <c r="O2" s="16" t="s">
        <v>51</v>
      </c>
      <c r="P2" s="16" t="s">
        <v>2</v>
      </c>
      <c r="Q2" s="16" t="s">
        <v>39</v>
      </c>
      <c r="R2" s="17" t="s">
        <v>40</v>
      </c>
      <c r="T2" s="15" t="str">
        <f>"insert into tabutton(button_id, button_no, description, is_use, ord_no,service_type, site_type, version_info, cre_date, upd_date) values(sqabutton_id.nextval,'"&amp;F2&amp;"','"&amp;G2&amp;"','Y','"&amp;J2&amp;"','"&amp;P2&amp;"','"&amp;Q2&amp;"','"&amp;R2&amp;"',to_char(sysdate,'yyyymmddhh24miss'),to_char(sysdate,'yyyymmddhh24miss')); "</f>
        <v xml:space="preserve">insert into tabutton(button_id, button_no, description, is_use, ord_no,service_type, site_type, version_info, cre_date, upd_date) values(sqabutton_id.nextval,'SEARCH','검색','Y','110','WEB','DREAM','2.00',to_char(sysdate,'yyyymmddhh24miss'),to_char(sysdate,'yyyymmddhh24miss')); </v>
      </c>
      <c r="U2" s="15" t="str">
        <f>"update tabutton set description='"&amp;G2&amp;"', is_use='Y', ord_no='"&amp;J2&amp;"',service_type='"&amp;P2&amp;"', site_type='"&amp;Q2&amp;"',version_info='"&amp;R2&amp;"',upd_date=to_char(sysdate,'yyyymmddhh24miss') where button_no = '"&amp;F2&amp;"' ; "</f>
        <v xml:space="preserve">update tabutton set description='검색', is_use='Y', ord_no='110',service_type='WEB', site_type='DREAM',version_info='2.00',upd_date=to_char(sysdate,'yyyymmddhh24miss') where button_no = 'SEARCH' ; </v>
      </c>
      <c r="V2" t="s">
        <v>33</v>
      </c>
      <c r="W2" s="15" t="str">
        <f>"insert into tabutton(button_id, button_no, description, is_use, ord_no,service_type, site_type, version_info, cre_date, upd_date) values(next value for sqabutton_id,'"&amp;F2&amp;"','"&amp;G2&amp;"','Y','"&amp;J2&amp;"','"&amp;P2&amp;"','"&amp;Q2&amp;"','"&amp;R2&amp;"',CONVERT(CHAR(8),GETDATE(),112)+REPLACE(CONVERT(CHAR(8),GETDATE(),108),':',''),CONVERT(CHAR(8),GETDATE(),112)+REPLACE(CONVERT(CHAR(8),GETDATE(),108),':','')); "</f>
        <v xml:space="preserve">insert into tabutton(button_id, button_no, description, is_use, ord_no,service_type, site_type, version_info, cre_date, upd_date) values(next value for sqabutton_id,'SEARCH','검색','Y','110','WEB','DREAM','2.00',CONVERT(CHAR(8),GETDATE(),112)+REPLACE(CONVERT(CHAR(8),GETDATE(),108),':',''),CONVERT(CHAR(8),GETDATE(),112)+REPLACE(CONVERT(CHAR(8),GETDATE(),108),':','')); </v>
      </c>
      <c r="X2" s="15" t="str">
        <f>"update tabutton set description='"&amp;G2&amp;"', is_use='Y', ord_no='"&amp;J2&amp;"',service_type='"&amp;P2&amp;"', site_type='"&amp;Q2&amp;"',version_info='"&amp;R2&amp;"',upd_date=CONVERT(CHAR(8),GETDATE(),112)+REPLACE(CONVERT(CHAR(8),GETDATE(),108),':','') where button_no = '"&amp;F2&amp;"' ; "</f>
        <v xml:space="preserve">update tabutton set description='검색', is_use='Y', ord_no='110',service_type='WEB', site_type='DREAM',version_info='2.00',upd_date=CONVERT(CHAR(8),GETDATE(),112)+REPLACE(CONVERT(CHAR(8),GETDATE(),108),':','') where button_no = 'SEARCH' ; </v>
      </c>
      <c r="Y2" t="s">
        <v>33</v>
      </c>
      <c r="Z2" s="15" t="str">
        <f t="shared" ref="Z2" si="0">"  (select page_id from tapage where file_name = '"&amp;C2&amp;"') "</f>
        <v xml:space="preserve">  (select page_id from tapage where file_name = 'workPmiList') </v>
      </c>
      <c r="AA2" s="15" t="str">
        <f t="shared" ref="AA2" si="1" xml:space="preserve"> "  (select button_id from tabutton where button_no = '"&amp;F2&amp;"') "</f>
        <v xml:space="preserve">  (select button_id from tabutton where button_no = 'SEARCH') </v>
      </c>
      <c r="AB2" s="15" t="str">
        <f>"INSERT INTO TAPGBTN (pgbtn_id, page_id, button_id, button_loc, ord_no, is_use, is_chkauth, is_basic, is_set_group, key_no, key_type, file_name, button_no, site_type, version_info, basic_key_type, basic_key_no, cre_date, upd_date)"</f>
        <v>INSERT INTO TAPGBTN (pgbtn_id, page_id, button_id, button_loc, ord_no, is_use, is_chkauth, is_basic, is_set_group, key_no, key_type, file_name, button_no, site_type, version_info, basic_key_type, basic_key_no, cre_date, upd_date)</v>
      </c>
      <c r="AC2" t="s">
        <v>33</v>
      </c>
      <c r="AD2" s="15" t="str">
        <f>AB2&amp;" VALUES (sqapgbtn_id.NEXTVAL, "&amp;Z2&amp;", "&amp;AA2&amp;", '"&amp;TRIM(E2)&amp;"', '"&amp;TRIM(J2)&amp;"', '"&amp;TRIM(K2)&amp;"', '"&amp;TRIM(L2)&amp;"', 'Y', 'N', '"&amp;TRIM(O2)&amp;"', '"&amp;TRIM(N2)&amp;"', '"&amp;TRIM(C2)&amp;"', '"&amp;TRIM(F2)&amp;"', '"&amp;TRIM(Q2)&amp;"', '"&amp;TRIM(R2)&amp;"', '"&amp;TRIM(N2)&amp;"', '"&amp;TRIM(O2)&amp;"',  to_char(sysdate,'yyyymmddhh24miss'),  to_char(sysdate,'yyyymmddhh24miss'));"</f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'SEARCH') , 'FILTER', '110', 'Y', 'N', 'Y', 'N', 'SEARCH', 'BUTTON', 'workPmiList', 'SEARCH', 'DREAM', '2.00', 'BUTTON', 'SEARCH',  to_char(sysdate,'yyyymmddhh24miss'),  to_char(sysdate,'yyyymmddhh24miss'));</v>
      </c>
      <c r="AE2" s="15" t="str">
        <f t="shared" ref="AE2" si="2">" update TAPGBTN set remark = '"&amp;G2&amp;"', ord_no = '"&amp;J2&amp;"' ,is_use = '"&amp;K2&amp;"' ,is_chkauth = '"&amp;L2&amp;"' ,key_type = '"&amp;N2&amp;"',key_no = '"&amp;O2&amp;"', file_name = '"&amp;C2&amp;"', button_no = '"&amp;F2&amp;"'  ,version_info = '"&amp;R2&amp;"',basic_key_type = '"&amp;N2&amp;"', basic_key_no = '"&amp;O2&amp;"', upd_date= to_char(sysdate,'yyyymmddhh24miss') , SITE_TYPE='"&amp;Q2&amp;"' where page_id = "&amp;Z2&amp;"  and button_id = "&amp;AA2&amp;"     and button_loc = '"&amp;E2&amp;"' ; "</f>
        <v xml:space="preserve"> update TAPGBTN set remark = '검색', ord_no = '110' ,is_use = 'Y' ,is_chkauth = 'N' ,key_type = 'BUTTON',key_no = 'SEARCH', file_name = 'workPmiList', button_no = 'SEARCH'  ,version_info = '2.00',basic_key_type = 'BUTTON', basic_key_no = 'SEARCH', upd_date= to_char(sysdate,'yyyymmddhh24miss') , SITE_TYPE='DREAM' where page_id =   (select page_id from tapage where file_name = 'workPmiList')   and button_id =   (select button_id from tabutton where button_no = 'SEARCH')      and button_loc = 'FILTER' ; </v>
      </c>
      <c r="AF2" s="15" t="str">
        <f>" insert into talang(lang_id, lang, key_type, key_no, key_name, upd_date,is_comm_js_use, use_web, use_android, cre_date, site_type, version_info, basic_key_name) values(sqalang_id.nextval, 'ko','"&amp;N2&amp;"','"&amp;O2&amp;"','"&amp;G2&amp;"',to_char(sysdate,'yyyymmddhh24miss'),'N','Y','N',to_char(sysdate,'yyyymmddhh24miss'),'"&amp;Q2&amp;"','"&amp;R2&amp;"','"&amp;G2&amp;"'); "</f>
        <v xml:space="preserve"> insert into talang(lang_id, lang, key_type, key_no, key_name, upd_date,is_comm_js_use, use_web, use_android, cre_date, site_type, version_info, basic_key_name) values(sqalang_id.nextval, 'ko','BUTTON','SEARCH','검색',to_char(sysdate,'yyyymmddhh24miss'),'N','Y','N',to_char(sysdate,'yyyymmddhh24miss'),'DREAM','2.00','검색'); </v>
      </c>
      <c r="AG2" s="15" t="str">
        <f>"update talang set key_name = '"&amp;G2&amp;"', basic_key_name = '"&amp;G2&amp;"',site_type = '"&amp;Q2&amp;"', version_info = '"&amp;R2&amp;"',  upd_date = to_char(sysdate,'yyyymmddhh24miss')  where lang = 'ko' and key_type =  '"&amp;N2&amp;"' and key_no =  '"&amp;O2&amp;"' ; "</f>
        <v xml:space="preserve">update talang set key_name = '검색', basic_key_name = '검색',site_type = 'DREAM', version_info = '2.00',  upd_date = to_char(sysdate,'yyyymmddhh24miss')  where lang = 'ko' and key_type =  'BUTTON' and key_no =  'SEARCH' ; </v>
      </c>
      <c r="AH2" s="15" t="str">
        <f>" insert into talang(lang_id, lang, key_type, key_no, key_name, upd_date,is_comm_js_use, use_web, use_android, cre_date, site_type, version_info, basic_key_name) values(sqalang_id.nextval, 'en','"&amp;N2&amp;"','"&amp;O2&amp;"','"&amp;H2&amp;"',to_char(sysdate,'yyyymmddhh24miss'),'N','Y','N',to_char(sysdate,'yyyymmddhh24miss'),'"&amp;Q2&amp;"','"&amp;R2&amp;"','"&amp;H2&amp;"'); "</f>
        <v xml:space="preserve"> insert into talang(lang_id, lang, key_type, key_no, key_name, upd_date,is_comm_js_use, use_web, use_android, cre_date, site_type, version_info, basic_key_name) values(sqalang_id.nextval, 'en','BUTTON','SEARCH','Search',to_char(sysdate,'yyyymmddhh24miss'),'N','Y','N',to_char(sysdate,'yyyymmddhh24miss'),'DREAM','2.00','Search'); </v>
      </c>
      <c r="AI2" s="15" t="str">
        <f>"update talang set key_name = '"&amp;H2&amp;"', basic_key_name = '"&amp;H2&amp;"',site_type = '"&amp;Q2&amp;"', version_info = '"&amp;R2&amp;"',  upd_date = to_char(sysdate,'yyyymmddhh24miss')  where lang = 'en' and key_type =  '"&amp;N2&amp;"' and key_no =  '"&amp;O2&amp;"' ; "</f>
        <v xml:space="preserve">update talang set key_name = 'Search', basic_key_name = 'Search',site_type = 'DREAM', version_info = '2.00',  upd_date = to_char(sysdate,'yyyymmddhh24miss')  where lang = 'en' and key_type =  'BUTTON' and key_no =  'SEARCH' ; </v>
      </c>
      <c r="AJ2" s="15" t="str">
        <f>" insert into talang(lang_id, lang, key_type, key_no, key_name, upd_date,is_comm_js_use, use_web, use_android, cre_date, site_type, version_info, basic_key_name) values(sqalang_id.nextval, 'cn','"&amp;I2&amp;"','"&amp;O2&amp;"','"&amp;H2&amp;"',to_char(sysdate,'yyyymmddhh24miss'),'N','Y','N',to_char(sysdate,'yyyymmddhh24miss'),'"&amp;Q2&amp;"','"&amp;R2&amp;"','"&amp;I2&amp;"'); "</f>
        <v xml:space="preserve"> insert into talang(lang_id, lang, key_type, key_no, key_name, upd_date,is_comm_js_use, use_web, use_android, cre_date, site_type, version_info, basic_key_name) values(sqalang_id.nextval, 'cn','','SEARCH','Search',to_char(sysdate,'yyyymmddhh24miss'),'N','Y','N',to_char(sysdate,'yyyymmddhh24miss'),'DREAM','2.00',''); </v>
      </c>
      <c r="AK2" s="15" t="str">
        <f>"update talang set key_name = '"&amp;I2&amp;"', basic_key_name = '"&amp;I2&amp;"',site_type = '"&amp;Q2&amp;"', version_info = '"&amp;R2&amp;"',  upd_date = to_char(sysdate,'yyyymmddhh24miss')  where lang = 'cn' and key_type =  '"&amp;N2&amp;"' and key_no =  '"&amp;O2&amp;"' ; "</f>
        <v xml:space="preserve">update talang set key_name = '', basic_key_name = '',site_type = 'DREAM', version_info = '2.00',  upd_date = to_char(sysdate,'yyyymmddhh24miss')  where lang = 'cn' and key_type =  'BUTTON' and key_no =  'SEARCH' ; </v>
      </c>
      <c r="AL2" t="s">
        <v>33</v>
      </c>
      <c r="AM2" s="15" t="str">
        <f>AB2&amp;" VALUES (next value for sqapgbtn_id, "&amp;Z2&amp;", "&amp;AA2&amp;", '"&amp;TRIM(E2)&amp;"', '"&amp;TRIM(J2)&amp;"', '"&amp;TRIM(K2)&amp;"', '"&amp;TRIM(L2)&amp;"', 'Y', 'N', '"&amp;TRIM(O2)&amp;"', '"&amp;TRIM(N2)&amp;"', '"&amp;TRIM(C2)&amp;"', '"&amp;TRIM(F2)&amp;"', '"&amp;TRIM(Q2)&amp;"', '"&amp;TRIM(R2)&amp;"', '"&amp;TRIM(N2)&amp;"', '"&amp;TRIM(O2)&amp;"',  CONVERT(CHAR(8),GETDATE(),112)+REPLACE(CONVERT(CHAR(8),GETDATE(),108),':',''),  CONVERT(CHAR(8),GETDATE(),112)+REPLACE(CONVERT(CHAR(8),GETDATE(),108),':',''));"</f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'SEARCH') , 'FILTER', '110', 'Y', 'N', 'Y', 'N', 'SEARCH', 'BUTTON', 'workPmiList', 'SEARCH', 'DREAM', '2.00', 'BUTTON', 'SEARCH',  CONVERT(CHAR(8),GETDATE(),112)+REPLACE(CONVERT(CHAR(8),GETDATE(),108),':',''),  CONVERT(CHAR(8),GETDATE(),112)+REPLACE(CONVERT(CHAR(8),GETDATE(),108),':',''));</v>
      </c>
      <c r="AN2" s="15" t="str">
        <f>" update TAPGBTN set remark = '"&amp;G2&amp;"', ord_no = '"&amp;J2&amp;"' ,is_use = '"&amp;K2&amp;"' ,is_chkauth = '"&amp;L2&amp;"' ,key_type = '"&amp;N2&amp;"',key_no = '"&amp;O2&amp;"', file_name = '"&amp;C2&amp;"', button_no = '"&amp;F2&amp;"'  ,version_info = '"&amp;R2&amp;"',basic_key_type = '"&amp;N2&amp;"', basic_key_no = '"&amp;O2&amp;"', upd_date= CONVERT(CHAR(8),GETDATE(),112)+REPLACE(CONVERT(CHAR(8),GETDATE(),108),':','') , SITE_TYPE='"&amp;Q2&amp;"' where page_id = "&amp;Z2&amp;"  and button_id = "&amp;AA2&amp;"     and button_loc = '"&amp;E2&amp;"' ; "</f>
        <v xml:space="preserve"> update TAPGBTN set remark = '검색', ord_no = '110' ,is_use = 'Y' ,is_chkauth = 'N' ,key_type = 'BUTTON',key_no = 'SEARCH', file_name = 'workPmiList', button_no = 'SEARCH'  ,version_info = '2.00',basic_key_type = 'BUTTON', basic_key_no = 'SEARCH', upd_date= CONVERT(CHAR(8),GETDATE(),112)+REPLACE(CONVERT(CHAR(8),GETDATE(),108),':','') , SITE_TYPE='DREAM' where page_id =   (select page_id from tapage where file_name = 'workPmiList')   and button_id =   (select button_id from tabutton where button_no = 'SEARCH')      and button_loc = 'FILTER' ; </v>
      </c>
      <c r="AO2" s="15" t="str">
        <f>" insert into talang(lang_id, lang, key_type, key_no, key_name, upd_date,is_comm_js_use, use_web, use_android, cre_date, site_type, version_info, basic_key_name) values(next value for sqalang_id, 'ko','"&amp;N2&amp;"','"&amp;O2&amp;"','"&amp;G2&amp;"',CONVERT(CHAR(8),GETDATE(),112)+REPLACE(CONVERT(CHAR(8),GETDATE(),108),':',''),'N','Y','N',CONVERT(CHAR(8),GETDATE(),112)+REPLACE(CONVERT(CHAR(8),GETDATE(),108),':',''),'"&amp;Q2&amp;"','"&amp;R2&amp;"','"&amp;G2&amp;"'); "</f>
        <v xml:space="preserve"> insert into talang(lang_id, lang, key_type, key_no, key_name, upd_date,is_comm_js_use, use_web, use_android, cre_date, site_type, version_info, basic_key_name) values(next value for sqalang_id, 'ko','BUTTON','SEARCH','검색',CONVERT(CHAR(8),GETDATE(),112)+REPLACE(CONVERT(CHAR(8),GETDATE(),108),':',''),'N','Y','N',CONVERT(CHAR(8),GETDATE(),112)+REPLACE(CONVERT(CHAR(8),GETDATE(),108),':',''),'DREAM','2.00','검색'); </v>
      </c>
      <c r="AP2" s="15" t="str">
        <f>"update talang set key_name = '"&amp;G2&amp;"', basic_key_name = '"&amp;G2&amp;"',site_type = '"&amp;Q2&amp;"', version_info = '"&amp;R2&amp;"',  upd_date = CONVERT(CHAR(8),GETDATE(),112)+REPLACE(CONVERT(CHAR(8),GETDATE(),108),':','')  where lang = 'ko' and key_type =  '"&amp;N2&amp;"' and key_no =  '"&amp;O2&amp;"' ; "</f>
        <v xml:space="preserve">update talang set key_name = '검색', basic_key_name = '검색',site_type = 'DREAM', version_info = '2.00',  upd_date = CONVERT(CHAR(8),GETDATE(),112)+REPLACE(CONVERT(CHAR(8),GETDATE(),108),':','')  where lang = 'ko' and key_type =  'BUTTON' and key_no =  'SEARCH' ; </v>
      </c>
      <c r="AQ2" s="15" t="str">
        <f>" insert into talang(lang_id, lang, key_type, key_no, key_name, upd_date,is_comm_js_use, use_web, use_android, cre_date, site_type, version_info, basic_key_name) values(next value for sqalang_id, 'en','"&amp;N2&amp;"','"&amp;O2&amp;"','"&amp;H2&amp;"',CONVERT(CHAR(8),GETDATE(),112)+REPLACE(CONVERT(CHAR(8),GETDATE(),108),':',''),'N','Y','N',CONVERT(CHAR(8),GETDATE(),112)+REPLACE(CONVERT(CHAR(8),GETDATE(),108),':',''),'"&amp;Q2&amp;"','"&amp;R2&amp;"','"&amp;H2&amp;"'); "</f>
        <v xml:space="preserve"> insert into talang(lang_id, lang, key_type, key_no, key_name, upd_date,is_comm_js_use, use_web, use_android, cre_date, site_type, version_info, basic_key_name) values(next value for sqalang_id, 'en','BUTTON','SEARCH','Search',CONVERT(CHAR(8),GETDATE(),112)+REPLACE(CONVERT(CHAR(8),GETDATE(),108),':',''),'N','Y','N',CONVERT(CHAR(8),GETDATE(),112)+REPLACE(CONVERT(CHAR(8),GETDATE(),108),':',''),'DREAM','2.00','Search'); </v>
      </c>
      <c r="AR2" s="15" t="str">
        <f>"update talang set key_name = '"&amp;H2&amp;"', basic_key_name = '"&amp;H2&amp;"',site_type = '"&amp;Q2&amp;"', version_info = '"&amp;R2&amp;"',  upd_date = CONVERT(CHAR(8),GETDATE(),112)+REPLACE(CONVERT(CHAR(8),GETDATE(),108),':','')  where lang = 'en' and key_type =  '"&amp;N2&amp;"' and key_no =  '"&amp;O2&amp;"' ; "</f>
        <v xml:space="preserve">update talang set key_name = 'Search', basic_key_name = 'Search',site_type = 'DREAM', version_info = '2.00',  upd_date = CONVERT(CHAR(8),GETDATE(),112)+REPLACE(CONVERT(CHAR(8),GETDATE(),108),':','')  where lang = 'en' and key_type =  'BUTTON' and key_no =  'SEARCH' ; </v>
      </c>
      <c r="AS2" s="15" t="str">
        <f>" insert into talang(lang_id, lang, key_type, key_no, key_name, upd_date,is_comm_js_use, use_web, use_android, cre_date, site_type, version_info, basic_key_name) values(next value for sqalang_id, 'cn','"&amp;N2&amp;"','"&amp;O2&amp;"','"&amp;I2&amp;"',CONVERT(CHAR(8),GETDATE(),112)+REPLACE(CONVERT(CHAR(8),GETDATE(),108),':',''),'N','Y','N',CONVERT(CHAR(8),GETDATE(),112)+REPLACE(CONVERT(CHAR(8),GETDATE(),108),':',''),'"&amp;Q2&amp;"','"&amp;R2&amp;"','"&amp;I2&amp;"'); "</f>
        <v xml:space="preserve"> insert into talang(lang_id, lang, key_type, key_no, key_name, upd_date,is_comm_js_use, use_web, use_android, cre_date, site_type, version_info, basic_key_name) values(next value for sqalang_id, 'cn','BUTTON','SEARCH','',CONVERT(CHAR(8),GETDATE(),112)+REPLACE(CONVERT(CHAR(8),GETDATE(),108),':',''),'N','Y','N',CONVERT(CHAR(8),GETDATE(),112)+REPLACE(CONVERT(CHAR(8),GETDATE(),108),':',''),'DREAM','2.00',''); </v>
      </c>
      <c r="AT2" s="15" t="str">
        <f>"update talang set key_name = '"&amp;I2&amp;"', basic_key_name = '"&amp;I2&amp;"',site_type = '"&amp;Q2&amp;"', version_info = '"&amp;R2&amp;"',  upd_date = CONVERT(CHAR(8),GETDATE(),112)+REPLACE(CONVERT(CHAR(8),GETDATE(),108),':','')  where lang = 'cn' and key_type =  '"&amp;N2&amp;"' and key_no =  '"&amp;O2&amp;"' ; "</f>
        <v xml:space="preserve">update talang set key_name = '', basic_key_name = '',site_type = 'DREAM', version_info = '2.00',  upd_date = CONVERT(CHAR(8),GETDATE(),112)+REPLACE(CONVERT(CHAR(8),GETDATE(),108),':','')  where lang = 'cn' and key_type =  'BUTTON' and key_no =  'SEARCH' ; </v>
      </c>
      <c r="AU2" t="s">
        <v>33</v>
      </c>
      <c r="AV2" s="15" t="str">
        <f>"insert into tabutton(button_id, button_no, description, is_use, ord_no,service_type, site_type, version_info, cre_date, upd_date) values(sqabutton_id.nextval,'"&amp;F2&amp;"','"&amp;G2&amp;"','N','"&amp;J2&amp;"','"&amp;P2&amp;"','"&amp;Q2&amp;"','"&amp;R2&amp;"',to_char(sysdate,'yyyymmddhh24miss'),to_char(sysdate,'yyyymmddhh24miss')); "</f>
        <v xml:space="preserve">insert into tabutton(button_id, button_no, description, is_use, ord_no,service_type, site_type, version_info, cre_date, upd_date) values(sqabutton_id.nextval,'SEARCH','검색','N','110','WEB','DREAM','2.00',to_char(sysdate,'yyyymmddhh24miss'),to_char(sysdate,'yyyymmddhh24miss')); </v>
      </c>
      <c r="AW2" s="15" t="str">
        <f>AB2&amp;" VALUES (sqapgbtn_id.NEXTVAL, "&amp;Z2&amp;", "&amp;AA2&amp;", '"&amp;TRIM(E2)&amp;"', '"&amp;TRIM(J2)&amp;"', 'N', '"&amp;TRIM(L2)&amp;"', 'Y', 'N', '"&amp;TRIM(O2)&amp;"', '"&amp;TRIM(N2)&amp;"', '"&amp;TRIM(C2)&amp;"', '"&amp;TRIM(F2)&amp;"', '"&amp;TRIM(Q2)&amp;"', '"&amp;TRIM(R2)&amp;"', '"&amp;TRIM(N2)&amp;"', '"&amp;TRIM(O2)&amp;"',  to_char(sysdate,'yyyymmddhh24miss'),  to_char(sysdate,'yyyymmddhh24miss'));"</f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'SEARCH') , 'FILTER', '110', 'N', 'N', 'Y', 'N', 'SEARCH', 'BUTTON', 'workPmiList', 'SEARCH', 'DREAM', '2.00', 'BUTTON', 'SEARCH',  to_char(sysdate,'yyyymmddhh24miss'),  to_char(sysdate,'yyyymmddhh24miss'));</v>
      </c>
      <c r="AX2" s="14" t="str">
        <f>"insert into tabutton(button_id, button_no, description, is_use, ord_no,service_type, site_type, version_info, cre_date, upd_date) values(next value for sqabutton_id,'"&amp;F2&amp;"','"&amp;G2&amp;"','N','"&amp;J2&amp;"','"&amp;P2&amp;"','"&amp;Q2&amp;"','"&amp;R2&amp;"',CONVERT(CHAR(8),GETDATE(),112)+REPLACE(CONVERT(CHAR(8),GETDATE(),108),':',''),CONVERT(CHAR(8),GETDATE(),112)+REPLACE(CONVERT(CHAR(8),GETDATE(),108),':','')); "</f>
        <v xml:space="preserve">insert into tabutton(button_id, button_no, description, is_use, ord_no,service_type, site_type, version_info, cre_date, upd_date) values(next value for sqabutton_id,'SEARCH','검색','N','110','WEB','DREAM','2.00',CONVERT(CHAR(8),GETDATE(),112)+REPLACE(CONVERT(CHAR(8),GETDATE(),108),':',''),CONVERT(CHAR(8),GETDATE(),112)+REPLACE(CONVERT(CHAR(8),GETDATE(),108),':','')); </v>
      </c>
      <c r="AY2" s="14" t="str">
        <f>AB2&amp;" VALUES (next value for sqapgbtn_id, "&amp;Z2&amp;", "&amp;AA2&amp;", '"&amp;TRIM(E2)&amp;"', '"&amp;TRIM(J2)&amp;"', 'N', '"&amp;TRIM(L2)&amp;"', 'Y', 'N', '"&amp;TRIM(O2)&amp;"', '"&amp;TRIM(N2)&amp;"', '"&amp;TRIM(C2)&amp;"', '"&amp;TRIM(F2)&amp;"', '"&amp;TRIM(Q2)&amp;"', '"&amp;TRIM(R2)&amp;"', '"&amp;TRIM(N2)&amp;"', '"&amp;TRIM(O2)&amp;"',  CONVERT(CHAR(8),GETDATE(),112)+REPLACE(CONVERT(CHAR(8),GETDATE(),108),':',''),  CONVERT(CHAR(8),GETDATE(),112)+REPLACE(CONVERT(CHAR(8),GETDATE(),108),':',''));"</f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'SEARCH') , 'FILTER', '110', 'N', 'N', 'Y', 'N', 'SEARCH', 'BUTTON', 'workPmiList', 'SEARCH', 'DREAM', '2.00', 'BUTTON', 'SEARCH',  CONVERT(CHAR(8),GETDATE(),112)+REPLACE(CONVERT(CHAR(8),GETDATE(),108),':',''),  CONVERT(CHAR(8),GETDATE(),112)+REPLACE(CONVERT(CHAR(8),GETDATE(),108),':',''));</v>
      </c>
      <c r="AZ2" t="s">
        <v>33</v>
      </c>
      <c r="BA2" s="14" t="str">
        <f>"insert into tabutton(button_id, button_no, description, is_use, ord_no,service_type, site_type, version_info, cre_date, upd_date) values(sqabutton_id.nextval,'"&amp;F2&amp;"','"&amp;G2&amp;"','Y','"&amp;J2&amp;"','"&amp;P2&amp;"','"&amp;Q2&amp;"','"&amp;R2&amp;"',to_char(sysdate,'yyyymmddhh24miss'),to_char(sysdate,'yyyymmddhh24miss')); "</f>
        <v xml:space="preserve">insert into tabutton(button_id, button_no, description, is_use, ord_no,service_type, site_type, version_info, cre_date, upd_date) values(sqabutton_id.nextval,'SEARCH','검색','Y','110','WEB','DREAM','2.00',to_char(sysdate,'yyyymmddhh24miss'),to_char(sysdate,'yyyymmddhh24miss')); </v>
      </c>
      <c r="BB2" s="14" t="str">
        <f>AB2&amp;" VALUES (sqapgbtn_id.NEXTVAL, "&amp;Z2&amp;", "&amp;AA2&amp;", '"&amp;TRIM(E2)&amp;"', '"&amp;TRIM(J2)&amp;"', 'Y', '"&amp;TRIM(L2)&amp;"', 'Y', 'N', '"&amp;TRIM(O2)&amp;"', '"&amp;TRIM(N2)&amp;"', '"&amp;TRIM(C2)&amp;"', '"&amp;TRIM(F2)&amp;"', '"&amp;TRIM(Q2)&amp;"', '"&amp;TRIM(R2)&amp;"', '"&amp;TRIM(N2)&amp;"', '"&amp;TRIM(O2)&amp;"',  to_char(sysdate,'yyyymmddhh24miss'),  to_char(sysdate,'yyyymmddhh24miss'));"</f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'SEARCH') , 'FILTER', '110', 'Y', 'N', 'Y', 'N', 'SEARCH', 'BUTTON', 'workPmiList', 'SEARCH', 'DREAM', '2.00', 'BUTTON', 'SEARCH',  to_char(sysdate,'yyyymmddhh24miss'),  to_char(sysdate,'yyyymmddhh24miss'));</v>
      </c>
      <c r="BC2" s="14" t="str">
        <f>" update TAPGBTN set remark = '"&amp;G2&amp;"', ord_no = '"&amp;J2&amp;"' ,is_use = '"&amp;K2&amp;"' ,is_chkauth = '"&amp;L2&amp;"' ,key_type = '"&amp;N2&amp;"',key_no = '"&amp;O2&amp;"', file_name = '"&amp;C2&amp;"', button_no = '"&amp;F2&amp;"'  ,version_info = '"&amp;R2&amp;"',basic_key_type = '"&amp;N2&amp;"', basic_key_no = '"&amp;O2&amp;"', upd_date= to_char(sysdate,'yyyymmddhh24miss') , SITE_TYPE='"&amp;Q2&amp;"' where page_id = "&amp;Z2&amp;"  and button_id = "&amp;AA2&amp;"     and button_loc = '"&amp;E2&amp;"' ; "</f>
        <v xml:space="preserve"> update TAPGBTN set remark = '검색', ord_no = '110' ,is_use = 'Y' ,is_chkauth = 'N' ,key_type = 'BUTTON',key_no = 'SEARCH', file_name = 'workPmiList', button_no = 'SEARCH'  ,version_info = '2.00',basic_key_type = 'BUTTON', basic_key_no = 'SEARCH', upd_date= to_char(sysdate,'yyyymmddhh24miss') , SITE_TYPE='DREAM' where page_id =   (select page_id from tapage where file_name = 'workPmiList')   and button_id =   (select button_id from tabutton where button_no = 'SEARCH')      and button_loc = 'FILTER' ; </v>
      </c>
      <c r="BD2" s="14" t="str">
        <f>"insert into tabutton(button_id, button_no, description, is_use, ord_no,service_type, site_type, version_info, cre_date, upd_date) values(next value for sqabutton_id,'"&amp;F2&amp;"','"&amp;G2&amp;"','Y','"&amp;J2&amp;"','"&amp;P2&amp;"','"&amp;Q2&amp;"','"&amp;R2&amp;"',CONVERT(CHAR(8),GETDATE(),112)+REPLACE(CONVERT(CHAR(8),GETDATE(),108),':',''),CONVERT(CHAR(8),GETDATE(),112)+REPLACE(CONVERT(CHAR(8),GETDATE(),108),':','')); "</f>
        <v xml:space="preserve">insert into tabutton(button_id, button_no, description, is_use, ord_no,service_type, site_type, version_info, cre_date, upd_date) values(next value for sqabutton_id,'SEARCH','검색','Y','110','WEB','DREAM','2.00',CONVERT(CHAR(8),GETDATE(),112)+REPLACE(CONVERT(CHAR(8),GETDATE(),108),':',''),CONVERT(CHAR(8),GETDATE(),112)+REPLACE(CONVERT(CHAR(8),GETDATE(),108),':','')); </v>
      </c>
      <c r="BE2" s="14" t="str">
        <f>AB2&amp;" VALUES (next value for sqapgbtn_id, "&amp;Z2&amp;", "&amp;AA2&amp;", '"&amp;TRIM(E2)&amp;"', '"&amp;TRIM(J2)&amp;"', 'Y', '"&amp;TRIM(L2)&amp;"', 'Y', 'N', '"&amp;TRIM(O2)&amp;"', '"&amp;TRIM(N2)&amp;"', '"&amp;TRIM(C2)&amp;"', '"&amp;TRIM(F2)&amp;"', '"&amp;TRIM(Q2)&amp;"', '"&amp;TRIM(R2)&amp;"', '"&amp;TRIM(N2)&amp;"', '"&amp;TRIM(O2)&amp;"',  CONVERT(CHAR(8),GETDATE(),112)+REPLACE(CONVERT(CHAR(8),GETDATE(),108),':',''),  CONVERT(CHAR(8),GETDATE(),112)+REPLACE(CONVERT(CHAR(8),GETDATE(),108),':',''));"</f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'SEARCH') , 'FILTER', '110', 'Y', 'N', 'Y', 'N', 'SEARCH', 'BUTTON', 'workPmiList', 'SEARCH', 'DREAM', '2.00', 'BUTTON', 'SEARCH',  CONVERT(CHAR(8),GETDATE(),112)+REPLACE(CONVERT(CHAR(8),GETDATE(),108),':',''),  CONVERT(CHAR(8),GETDATE(),112)+REPLACE(CONVERT(CHAR(8),GETDATE(),108),':',''));</v>
      </c>
      <c r="BF2" s="13" t="str">
        <f>" update TAPGBTN set remark = '"&amp;G2&amp;"', ord_no = '"&amp;J2&amp;"' ,is_use = '"&amp;K2&amp;"' ,is_chkauth = '"&amp;L2&amp;"' ,key_type = '"&amp;N2&amp;"',key_no = '"&amp;O2&amp;"', file_name = '"&amp;C2&amp;"', button_no = '"&amp;F2&amp;"'  ,version_info = '"&amp;R2&amp;"',basic_key_type = '"&amp;N2&amp;"', basic_key_no = '"&amp;O2&amp;"', upd_date= CONVERT(CHAR(8),GETDATE(),112)+REPLACE(CONVERT(CHAR(8),GETDATE(),108),':','') , SITE_TYPE='"&amp;Q2&amp;"' where page_id = "&amp;Z2&amp;"  and button_id = "&amp;AA2&amp;"     and button_loc = '"&amp;E2&amp;"' ; "</f>
        <v xml:space="preserve"> update TAPGBTN set remark = '검색', ord_no = '110' ,is_use = 'Y' ,is_chkauth = 'N' ,key_type = 'BUTTON',key_no = 'SEARCH', file_name = 'workPmiList', button_no = 'SEARCH'  ,version_info = '2.00',basic_key_type = 'BUTTON', basic_key_no = 'SEARCH', upd_date= CONVERT(CHAR(8),GETDATE(),112)+REPLACE(CONVERT(CHAR(8),GETDATE(),108),':','') , SITE_TYPE='DREAM' where page_id =   (select page_id from tapage where file_name = 'workPmiList')   and button_id =   (select button_id from tabutton where button_no = 'SEARCH')      and button_loc = 'FILTER' ; </v>
      </c>
      <c r="BG2" t="s">
        <v>33</v>
      </c>
    </row>
    <row r="3" spans="1:59" x14ac:dyDescent="0.3">
      <c r="A3" s="15">
        <v>2</v>
      </c>
      <c r="B3" s="14" t="s">
        <v>36</v>
      </c>
      <c r="C3" s="16" t="s">
        <v>42</v>
      </c>
      <c r="D3" s="16" t="s">
        <v>43</v>
      </c>
      <c r="E3" s="16" t="s">
        <v>6</v>
      </c>
      <c r="F3" s="16" t="s">
        <v>48</v>
      </c>
      <c r="G3" s="16" t="s">
        <v>0</v>
      </c>
      <c r="H3" s="16" t="s">
        <v>0</v>
      </c>
      <c r="I3" s="15"/>
      <c r="J3" s="16" t="s">
        <v>301</v>
      </c>
      <c r="K3" s="16" t="s">
        <v>38</v>
      </c>
      <c r="L3" s="16" t="s">
        <v>44</v>
      </c>
      <c r="M3" s="15"/>
      <c r="N3" s="16" t="s">
        <v>47</v>
      </c>
      <c r="O3" s="16" t="s">
        <v>49</v>
      </c>
      <c r="P3" s="16" t="s">
        <v>2</v>
      </c>
      <c r="Q3" s="16" t="s">
        <v>39</v>
      </c>
      <c r="R3" s="17" t="s">
        <v>40</v>
      </c>
      <c r="T3" s="15" t="str">
        <f t="shared" ref="T3:T7" si="3">"insert into tabutton(button_id, button_no, description, is_use, ord_no,service_type, site_type, version_info, cre_date, upd_date) values(sqabutton_id.nextval,'"&amp;F3&amp;"','"&amp;G3&amp;"','Y','"&amp;J3&amp;"','"&amp;P3&amp;"','"&amp;Q3&amp;"','"&amp;R3&amp;"',to_char(sysdate,'yyyymmddhh24miss'),to_char(sysdate,'yyyymmddhh24miss')); "</f>
        <v xml:space="preserve">insert into tabutton(button_id, button_no, description, is_use, ord_no,service_type, site_type, version_info, cre_date, upd_date) values(sqabutton_id.nextval,'COLSETTING','Setting','Y','120','WEB','DREAM','2.00',to_char(sysdate,'yyyymmddhh24miss'),to_char(sysdate,'yyyymmddhh24miss')); </v>
      </c>
      <c r="U3" s="15" t="str">
        <f t="shared" ref="U3:U7" si="4">"update tabutton set description='"&amp;G3&amp;"', is_use='Y', ord_no='"&amp;J3&amp;"',service_type='"&amp;P3&amp;"', site_type='"&amp;Q3&amp;"',version_info='"&amp;R3&amp;"',upd_date=to_char(sysdate,'yyyymmddhh24miss') where button_no = '"&amp;F3&amp;"' ; "</f>
        <v xml:space="preserve">update tabutton set description='Setting', is_use='Y', ord_no='120',service_type='WEB', site_type='DREAM',version_info='2.00',upd_date=to_char(sysdate,'yyyymmddhh24miss') where button_no = 'COLSETTING' ; </v>
      </c>
      <c r="V3" t="s">
        <v>33</v>
      </c>
      <c r="W3" s="15" t="str">
        <f t="shared" ref="W3:W7" si="5">"insert into tabutton(button_id, button_no, description, is_use, ord_no,service_type, site_type, version_info, cre_date, upd_date) values(next value for sqabutton_id,'"&amp;F3&amp;"','"&amp;G3&amp;"','Y','"&amp;J3&amp;"','"&amp;P3&amp;"','"&amp;Q3&amp;"','"&amp;R3&amp;"',CONVERT(CHAR(8),GETDATE(),112)+REPLACE(CONVERT(CHAR(8),GETDATE(),108),':',''),CONVERT(CHAR(8),GETDATE(),112)+REPLACE(CONVERT(CHAR(8),GETDATE(),108),':','')); "</f>
        <v xml:space="preserve">insert into tabutton(button_id, button_no, description, is_use, ord_no,service_type, site_type, version_info, cre_date, upd_date) values(next value for sqabutton_id,'COLSETTING','Setting','Y','120','WEB','DREAM','2.00',CONVERT(CHAR(8),GETDATE(),112)+REPLACE(CONVERT(CHAR(8),GETDATE(),108),':',''),CONVERT(CHAR(8),GETDATE(),112)+REPLACE(CONVERT(CHAR(8),GETDATE(),108),':','')); </v>
      </c>
      <c r="X3" s="15" t="str">
        <f t="shared" ref="X3:X7" si="6">"update tabutton set description='"&amp;G3&amp;"', is_use='Y', ord_no='"&amp;J3&amp;"',service_type='"&amp;P3&amp;"', site_type='"&amp;Q3&amp;"',version_info='"&amp;R3&amp;"',upd_date=CONVERT(CHAR(8),GETDATE(),112)+REPLACE(CONVERT(CHAR(8),GETDATE(),108),':','') where button_no = '"&amp;F3&amp;"' ; "</f>
        <v xml:space="preserve">update tabutton set description='Setting', is_use='Y', ord_no='120',service_type='WEB', site_type='DREAM',version_info='2.00',upd_date=CONVERT(CHAR(8),GETDATE(),112)+REPLACE(CONVERT(CHAR(8),GETDATE(),108),':','') where button_no = 'COLSETTING' ; </v>
      </c>
      <c r="Y3" t="s">
        <v>33</v>
      </c>
      <c r="Z3" s="15" t="str">
        <f t="shared" ref="Z3:Z7" si="7">"  (select page_id from tapage where file_name = '"&amp;C3&amp;"') "</f>
        <v xml:space="preserve">  (select page_id from tapage where file_name = 'workPmiList') </v>
      </c>
      <c r="AA3" s="15" t="str">
        <f t="shared" ref="AA3:AA7" si="8" xml:space="preserve"> "  (select button_id from tabutton where button_no = '"&amp;F3&amp;"') "</f>
        <v xml:space="preserve">  (select button_id from tabutton where button_no = 'COLSETTING') </v>
      </c>
      <c r="AB3" s="15" t="str">
        <f t="shared" ref="AB3:AB7" si="9">"INSERT INTO TAPGBTN (pgbtn_id, page_id, button_id, button_loc, ord_no, is_use, is_chkauth, is_basic, is_set_group, key_no, key_type, file_name, button_no, site_type, version_info, basic_key_type, basic_key_no, cre_date, upd_date)"</f>
        <v>INSERT INTO TAPGBTN (pgbtn_id, page_id, button_id, button_loc, ord_no, is_use, is_chkauth, is_basic, is_set_group, key_no, key_type, file_name, button_no, site_type, version_info, basic_key_type, basic_key_no, cre_date, upd_date)</v>
      </c>
      <c r="AC3" t="s">
        <v>33</v>
      </c>
      <c r="AD3" s="15" t="str">
        <f t="shared" ref="AD3:AD7" si="10">AB3&amp;" VALUES (sqapgbtn_id.NEXTVAL, "&amp;Z3&amp;", "&amp;AA3&amp;", '"&amp;TRIM(E3)&amp;"', '"&amp;TRIM(J3)&amp;"', '"&amp;TRIM(K3)&amp;"', '"&amp;TRIM(L3)&amp;"', 'Y', 'N', '"&amp;TRIM(O3)&amp;"', '"&amp;TRIM(N3)&amp;"', '"&amp;TRIM(C3)&amp;"', '"&amp;TRIM(F3)&amp;"', '"&amp;TRIM(Q3)&amp;"', '"&amp;TRIM(R3)&amp;"', '"&amp;TRIM(N3)&amp;"', '"&amp;TRIM(O3)&amp;"',  to_char(sysdate,'yyyymmddhh24miss'),  to_char(sysdate,'yyyymmddhh24miss'));"</f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'COLSETTING') , 'FILTER', '120', 'Y', 'N', 'Y', 'N', 'SETTING', 'BUTTON', 'workPmiList', 'COLSETTING', 'DREAM', '2.00', 'BUTTON', 'SETTING',  to_char(sysdate,'yyyymmddhh24miss'),  to_char(sysdate,'yyyymmddhh24miss'));</v>
      </c>
      <c r="AE3" s="15" t="str">
        <f t="shared" ref="AE3:AE7" si="11">" update TAPGBTN set remark = '"&amp;G3&amp;"', ord_no = '"&amp;J3&amp;"' ,is_use = '"&amp;K3&amp;"' ,is_chkauth = '"&amp;L3&amp;"' ,key_type = '"&amp;N3&amp;"',key_no = '"&amp;O3&amp;"', file_name = '"&amp;C3&amp;"', button_no = '"&amp;F3&amp;"'  ,version_info = '"&amp;R3&amp;"',basic_key_type = '"&amp;N3&amp;"', basic_key_no = '"&amp;O3&amp;"', upd_date= to_char(sysdate,'yyyymmddhh24miss') , SITE_TYPE='"&amp;Q3&amp;"' where page_id = "&amp;Z3&amp;"  and button_id = "&amp;AA3&amp;"     and button_loc = '"&amp;E3&amp;"' ; "</f>
        <v xml:space="preserve"> update TAPGBTN set remark = 'Setting', ord_no = '120' ,is_use = 'Y' ,is_chkauth = 'N' ,key_type = 'BUTTON',key_no = 'SETTING', file_name = 'workPmiList', button_no = 'COLSETTING'  ,version_info = '2.00',basic_key_type = 'BUTTON', basic_key_no = 'SETTING', upd_date= to_char(sysdate,'yyyymmddhh24miss') , SITE_TYPE='DREAM' where page_id =   (select page_id from tapage where file_name = 'workPmiList')   and button_id =   (select button_id from tabutton where button_no = 'COLSETTING')      and button_loc = 'FILTER' ; </v>
      </c>
      <c r="AF3" s="15" t="str">
        <f t="shared" ref="AF3:AF7" si="12">" insert into talang(lang_id, lang, key_type, key_no, key_name, upd_date,is_comm_js_use, use_web, use_android, cre_date, site_type, version_info, basic_key_name) values(sqalang_id.nextval, 'ko','"&amp;N3&amp;"','"&amp;O3&amp;"','"&amp;G3&amp;"',to_char(sysdate,'yyyymmddhh24miss'),'N','Y','N',to_char(sysdate,'yyyymmddhh24miss'),'"&amp;Q3&amp;"','"&amp;R3&amp;"','"&amp;G3&amp;"'); "</f>
        <v xml:space="preserve"> insert into talang(lang_id, lang, key_type, key_no, key_name, upd_date,is_comm_js_use, use_web, use_android, cre_date, site_type, version_info, basic_key_name) values(sqalang_id.nextval, 'ko','BUTTON','SETTING','Setting',to_char(sysdate,'yyyymmddhh24miss'),'N','Y','N',to_char(sysdate,'yyyymmddhh24miss'),'DREAM','2.00','Setting'); </v>
      </c>
      <c r="AG3" s="15" t="str">
        <f t="shared" ref="AG3:AG7" si="13">"update talang set key_name = '"&amp;G3&amp;"', basic_key_name = '"&amp;G3&amp;"',site_type = '"&amp;Q3&amp;"', version_info = '"&amp;R3&amp;"',  upd_date = to_char(sysdate,'yyyymmddhh24miss')  where lang = 'ko' and key_type =  '"&amp;N3&amp;"' and key_no =  '"&amp;O3&amp;"' ; "</f>
        <v xml:space="preserve">update talang set key_name = 'Setting', basic_key_name = 'Setting',site_type = 'DREAM', version_info = '2.00',  upd_date = to_char(sysdate,'yyyymmddhh24miss')  where lang = 'ko' and key_type =  'BUTTON' and key_no =  'SETTING' ; </v>
      </c>
      <c r="AH3" s="15" t="str">
        <f t="shared" ref="AH3:AH7" si="14">" insert into talang(lang_id, lang, key_type, key_no, key_name, upd_date,is_comm_js_use, use_web, use_android, cre_date, site_type, version_info, basic_key_name) values(sqalang_id.nextval, 'en','"&amp;N3&amp;"','"&amp;O3&amp;"','"&amp;H3&amp;"',to_char(sysdate,'yyyymmddhh24miss'),'N','Y','N',to_char(sysdate,'yyyymmddhh24miss'),'"&amp;Q3&amp;"','"&amp;R3&amp;"','"&amp;H3&amp;"'); "</f>
        <v xml:space="preserve"> insert into talang(lang_id, lang, key_type, key_no, key_name, upd_date,is_comm_js_use, use_web, use_android, cre_date, site_type, version_info, basic_key_name) values(sqalang_id.nextval, 'en','BUTTON','SETTING','Setting',to_char(sysdate,'yyyymmddhh24miss'),'N','Y','N',to_char(sysdate,'yyyymmddhh24miss'),'DREAM','2.00','Setting'); </v>
      </c>
      <c r="AI3" s="15" t="str">
        <f t="shared" ref="AI3:AI7" si="15">"update talang set key_name = '"&amp;H3&amp;"', basic_key_name = '"&amp;H3&amp;"',site_type = '"&amp;Q3&amp;"', version_info = '"&amp;R3&amp;"',  upd_date = to_char(sysdate,'yyyymmddhh24miss')  where lang = 'en' and key_type =  '"&amp;N3&amp;"' and key_no =  '"&amp;O3&amp;"' ; "</f>
        <v xml:space="preserve">update talang set key_name = 'Setting', basic_key_name = 'Setting',site_type = 'DREAM', version_info = '2.00',  upd_date = to_char(sysdate,'yyyymmddhh24miss')  where lang = 'en' and key_type =  'BUTTON' and key_no =  'SETTING' ; </v>
      </c>
      <c r="AJ3" s="15" t="str">
        <f t="shared" ref="AJ3:AJ7" si="16">" insert into talang(lang_id, lang, key_type, key_no, key_name, upd_date,is_comm_js_use, use_web, use_android, cre_date, site_type, version_info, basic_key_name) values(sqalang_id.nextval, 'cn','"&amp;I3&amp;"','"&amp;O3&amp;"','"&amp;H3&amp;"',to_char(sysdate,'yyyymmddhh24miss'),'N','Y','N',to_char(sysdate,'yyyymmddhh24miss'),'"&amp;Q3&amp;"','"&amp;R3&amp;"','"&amp;I3&amp;"'); "</f>
        <v xml:space="preserve"> insert into talang(lang_id, lang, key_type, key_no, key_name, upd_date,is_comm_js_use, use_web, use_android, cre_date, site_type, version_info, basic_key_name) values(sqalang_id.nextval, 'cn','','SETTING','Setting',to_char(sysdate,'yyyymmddhh24miss'),'N','Y','N',to_char(sysdate,'yyyymmddhh24miss'),'DREAM','2.00',''); </v>
      </c>
      <c r="AK3" s="15" t="str">
        <f t="shared" ref="AK3:AK7" si="17">"update talang set key_name = '"&amp;I3&amp;"', basic_key_name = '"&amp;I3&amp;"',site_type = '"&amp;Q3&amp;"', version_info = '"&amp;R3&amp;"',  upd_date = to_char(sysdate,'yyyymmddhh24miss')  where lang = 'cn' and key_type =  '"&amp;N3&amp;"' and key_no =  '"&amp;O3&amp;"' ; "</f>
        <v xml:space="preserve">update talang set key_name = '', basic_key_name = '',site_type = 'DREAM', version_info = '2.00',  upd_date = to_char(sysdate,'yyyymmddhh24miss')  where lang = 'cn' and key_type =  'BUTTON' and key_no =  'SETTING' ; </v>
      </c>
      <c r="AL3" t="s">
        <v>33</v>
      </c>
      <c r="AM3" s="15" t="str">
        <f t="shared" ref="AM3:AM7" si="18">AB3&amp;" VALUES (next value for sqapgbtn_id, "&amp;Z3&amp;", "&amp;AA3&amp;", '"&amp;TRIM(E3)&amp;"', '"&amp;TRIM(J3)&amp;"', '"&amp;TRIM(K3)&amp;"', '"&amp;TRIM(L3)&amp;"', 'Y', 'N', '"&amp;TRIM(O3)&amp;"', '"&amp;TRIM(N3)&amp;"', '"&amp;TRIM(C3)&amp;"', '"&amp;TRIM(F3)&amp;"', '"&amp;TRIM(Q3)&amp;"', '"&amp;TRIM(R3)&amp;"', '"&amp;TRIM(N3)&amp;"', '"&amp;TRIM(O3)&amp;"',  CONVERT(CHAR(8),GETDATE(),112)+REPLACE(CONVERT(CHAR(8),GETDATE(),108),':',''),  CONVERT(CHAR(8),GETDATE(),112)+REPLACE(CONVERT(CHAR(8),GETDATE(),108),':',''));"</f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'COLSETTING') , 'FILTER', '120', 'Y', 'N', 'Y', 'N', 'SETTING', 'BUTTON', 'workPmiList', 'COLSETTING', 'DREAM', '2.00', 'BUTTON', 'SETTING',  CONVERT(CHAR(8),GETDATE(),112)+REPLACE(CONVERT(CHAR(8),GETDATE(),108),':',''),  CONVERT(CHAR(8),GETDATE(),112)+REPLACE(CONVERT(CHAR(8),GETDATE(),108),':',''));</v>
      </c>
      <c r="AN3" s="15" t="str">
        <f t="shared" ref="AN3:AN7" si="19">" update TAPGBTN set remark = '"&amp;G3&amp;"', ord_no = '"&amp;J3&amp;"' ,is_use = '"&amp;K3&amp;"' ,is_chkauth = '"&amp;L3&amp;"' ,key_type = '"&amp;N3&amp;"',key_no = '"&amp;O3&amp;"', file_name = '"&amp;C3&amp;"', button_no = '"&amp;F3&amp;"'  ,version_info = '"&amp;R3&amp;"',basic_key_type = '"&amp;N3&amp;"', basic_key_no = '"&amp;O3&amp;"', upd_date= CONVERT(CHAR(8),GETDATE(),112)+REPLACE(CONVERT(CHAR(8),GETDATE(),108),':','') , SITE_TYPE='"&amp;Q3&amp;"' where page_id = "&amp;Z3&amp;"  and button_id = "&amp;AA3&amp;"     and button_loc = '"&amp;E3&amp;"' ; "</f>
        <v xml:space="preserve"> update TAPGBTN set remark = 'Setting', ord_no = '120' ,is_use = 'Y' ,is_chkauth = 'N' ,key_type = 'BUTTON',key_no = 'SETTING', file_name = 'workPmiList', button_no = 'COLSETTING'  ,version_info = '2.00',basic_key_type = 'BUTTON', basic_key_no = 'SETTING', upd_date= CONVERT(CHAR(8),GETDATE(),112)+REPLACE(CONVERT(CHAR(8),GETDATE(),108),':','') , SITE_TYPE='DREAM' where page_id =   (select page_id from tapage where file_name = 'workPmiList')   and button_id =   (select button_id from tabutton where button_no = 'COLSETTING')      and button_loc = 'FILTER' ; </v>
      </c>
      <c r="AO3" s="15" t="str">
        <f t="shared" ref="AO3:AO7" si="20">" insert into talang(lang_id, lang, key_type, key_no, key_name, upd_date,is_comm_js_use, use_web, use_android, cre_date, site_type, version_info, basic_key_name) values(next value for sqalang_id, 'ko','"&amp;N3&amp;"','"&amp;O3&amp;"','"&amp;G3&amp;"',CONVERT(CHAR(8),GETDATE(),112)+REPLACE(CONVERT(CHAR(8),GETDATE(),108),':',''),'N','Y','N',CONVERT(CHAR(8),GETDATE(),112)+REPLACE(CONVERT(CHAR(8),GETDATE(),108),':',''),'"&amp;Q3&amp;"','"&amp;R3&amp;"','"&amp;G3&amp;"'); "</f>
        <v xml:space="preserve"> insert into talang(lang_id, lang, key_type, key_no, key_name, upd_date,is_comm_js_use, use_web, use_android, cre_date, site_type, version_info, basic_key_name) values(next value for sqalang_id, 'ko','BUTTON','SETTING','Setting',CONVERT(CHAR(8),GETDATE(),112)+REPLACE(CONVERT(CHAR(8),GETDATE(),108),':',''),'N','Y','N',CONVERT(CHAR(8),GETDATE(),112)+REPLACE(CONVERT(CHAR(8),GETDATE(),108),':',''),'DREAM','2.00','Setting'); </v>
      </c>
      <c r="AP3" s="15" t="str">
        <f t="shared" ref="AP3:AP7" si="21">"update talang set key_name = '"&amp;G3&amp;"', basic_key_name = '"&amp;G3&amp;"',site_type = '"&amp;Q3&amp;"', version_info = '"&amp;R3&amp;"',  upd_date = CONVERT(CHAR(8),GETDATE(),112)+REPLACE(CONVERT(CHAR(8),GETDATE(),108),':','')  where lang = 'ko' and key_type =  '"&amp;N3&amp;"' and key_no =  '"&amp;O3&amp;"' ; "</f>
        <v xml:space="preserve">update talang set key_name = 'Setting', basic_key_name = 'Setting',site_type = 'DREAM', version_info = '2.00',  upd_date = CONVERT(CHAR(8),GETDATE(),112)+REPLACE(CONVERT(CHAR(8),GETDATE(),108),':','')  where lang = 'ko' and key_type =  'BUTTON' and key_no =  'SETTING' ; </v>
      </c>
      <c r="AQ3" s="15" t="str">
        <f t="shared" ref="AQ3:AQ7" si="22">" insert into talang(lang_id, lang, key_type, key_no, key_name, upd_date,is_comm_js_use, use_web, use_android, cre_date, site_type, version_info, basic_key_name) values(next value for sqalang_id, 'en','"&amp;N3&amp;"','"&amp;O3&amp;"','"&amp;H3&amp;"',CONVERT(CHAR(8),GETDATE(),112)+REPLACE(CONVERT(CHAR(8),GETDATE(),108),':',''),'N','Y','N',CONVERT(CHAR(8),GETDATE(),112)+REPLACE(CONVERT(CHAR(8),GETDATE(),108),':',''),'"&amp;Q3&amp;"','"&amp;R3&amp;"','"&amp;H3&amp;"'); "</f>
        <v xml:space="preserve"> insert into talang(lang_id, lang, key_type, key_no, key_name, upd_date,is_comm_js_use, use_web, use_android, cre_date, site_type, version_info, basic_key_name) values(next value for sqalang_id, 'en','BUTTON','SETTING','Setting',CONVERT(CHAR(8),GETDATE(),112)+REPLACE(CONVERT(CHAR(8),GETDATE(),108),':',''),'N','Y','N',CONVERT(CHAR(8),GETDATE(),112)+REPLACE(CONVERT(CHAR(8),GETDATE(),108),':',''),'DREAM','2.00','Setting'); </v>
      </c>
      <c r="AR3" s="15" t="str">
        <f t="shared" ref="AR3:AR7" si="23">"update talang set key_name = '"&amp;H3&amp;"', basic_key_name = '"&amp;H3&amp;"',site_type = '"&amp;Q3&amp;"', version_info = '"&amp;R3&amp;"',  upd_date = CONVERT(CHAR(8),GETDATE(),112)+REPLACE(CONVERT(CHAR(8),GETDATE(),108),':','')  where lang = 'en' and key_type =  '"&amp;N3&amp;"' and key_no =  '"&amp;O3&amp;"' ; "</f>
        <v xml:space="preserve">update talang set key_name = 'Setting', basic_key_name = 'Setting',site_type = 'DREAM', version_info = '2.00',  upd_date = CONVERT(CHAR(8),GETDATE(),112)+REPLACE(CONVERT(CHAR(8),GETDATE(),108),':','')  where lang = 'en' and key_type =  'BUTTON' and key_no =  'SETTING' ; </v>
      </c>
      <c r="AS3" s="15" t="str">
        <f t="shared" ref="AS3:AS7" si="24">" insert into talang(lang_id, lang, key_type, key_no, key_name, upd_date,is_comm_js_use, use_web, use_android, cre_date, site_type, version_info, basic_key_name) values(next value for sqalang_id, 'cn','"&amp;N3&amp;"','"&amp;O3&amp;"','"&amp;I3&amp;"',CONVERT(CHAR(8),GETDATE(),112)+REPLACE(CONVERT(CHAR(8),GETDATE(),108),':',''),'N','Y','N',CONVERT(CHAR(8),GETDATE(),112)+REPLACE(CONVERT(CHAR(8),GETDATE(),108),':',''),'"&amp;Q3&amp;"','"&amp;R3&amp;"','"&amp;I3&amp;"'); "</f>
        <v xml:space="preserve"> insert into talang(lang_id, lang, key_type, key_no, key_name, upd_date,is_comm_js_use, use_web, use_android, cre_date, site_type, version_info, basic_key_name) values(next value for sqalang_id, 'cn','BUTTON','SETTING','',CONVERT(CHAR(8),GETDATE(),112)+REPLACE(CONVERT(CHAR(8),GETDATE(),108),':',''),'N','Y','N',CONVERT(CHAR(8),GETDATE(),112)+REPLACE(CONVERT(CHAR(8),GETDATE(),108),':',''),'DREAM','2.00',''); </v>
      </c>
      <c r="AT3" s="15" t="str">
        <f t="shared" ref="AT3:AT7" si="25">"update talang set key_name = '"&amp;I3&amp;"', basic_key_name = '"&amp;I3&amp;"',site_type = '"&amp;Q3&amp;"', version_info = '"&amp;R3&amp;"',  upd_date = CONVERT(CHAR(8),GETDATE(),112)+REPLACE(CONVERT(CHAR(8),GETDATE(),108),':','')  where lang = 'cn' and key_type =  '"&amp;N3&amp;"' and key_no =  '"&amp;O3&amp;"' ; "</f>
        <v xml:space="preserve">update talang set key_name = '', basic_key_name = '',site_type = 'DREAM', version_info = '2.00',  upd_date = CONVERT(CHAR(8),GETDATE(),112)+REPLACE(CONVERT(CHAR(8),GETDATE(),108),':','')  where lang = 'cn' and key_type =  'BUTTON' and key_no =  'SETTING' ; </v>
      </c>
      <c r="AU3" t="s">
        <v>33</v>
      </c>
      <c r="AV3" s="15" t="str">
        <f t="shared" ref="AV3:AV7" si="26">"insert into tabutton(button_id, button_no, description, is_use, ord_no,service_type, site_type, version_info, cre_date, upd_date) values(sqabutton_id.nextval,'"&amp;F3&amp;"','"&amp;G3&amp;"','N','"&amp;J3&amp;"','"&amp;P3&amp;"','"&amp;Q3&amp;"','"&amp;R3&amp;"',to_char(sysdate,'yyyymmddhh24miss'),to_char(sysdate,'yyyymmddhh24miss')); "</f>
        <v xml:space="preserve">insert into tabutton(button_id, button_no, description, is_use, ord_no,service_type, site_type, version_info, cre_date, upd_date) values(sqabutton_id.nextval,'COLSETTING','Setting','N','120','WEB','DREAM','2.00',to_char(sysdate,'yyyymmddhh24miss'),to_char(sysdate,'yyyymmddhh24miss')); </v>
      </c>
      <c r="AW3" s="15" t="str">
        <f t="shared" ref="AW3:AW7" si="27">AB3&amp;" VALUES (sqapgbtn_id.NEXTVAL, "&amp;Z3&amp;", "&amp;AA3&amp;", '"&amp;TRIM(E3)&amp;"', '"&amp;TRIM(J3)&amp;"', 'N', '"&amp;TRIM(L3)&amp;"', 'Y', 'N', '"&amp;TRIM(O3)&amp;"', '"&amp;TRIM(N3)&amp;"', '"&amp;TRIM(C3)&amp;"', '"&amp;TRIM(F3)&amp;"', '"&amp;TRIM(Q3)&amp;"', '"&amp;TRIM(R3)&amp;"', '"&amp;TRIM(N3)&amp;"', '"&amp;TRIM(O3)&amp;"',  to_char(sysdate,'yyyymmddhh24miss'),  to_char(sysdate,'yyyymmddhh24miss'));"</f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'COLSETTING') , 'FILTER', '120', 'N', 'N', 'Y', 'N', 'SETTING', 'BUTTON', 'workPmiList', 'COLSETTING', 'DREAM', '2.00', 'BUTTON', 'SETTING',  to_char(sysdate,'yyyymmddhh24miss'),  to_char(sysdate,'yyyymmddhh24miss'));</v>
      </c>
      <c r="AX3" s="14" t="str">
        <f t="shared" ref="AX3:AX7" si="28">"insert into tabutton(button_id, button_no, description, is_use, ord_no,service_type, site_type, version_info, cre_date, upd_date) values(next value for sqabutton_id,'"&amp;F3&amp;"','"&amp;G3&amp;"','N','"&amp;J3&amp;"','"&amp;P3&amp;"','"&amp;Q3&amp;"','"&amp;R3&amp;"',CONVERT(CHAR(8),GETDATE(),112)+REPLACE(CONVERT(CHAR(8),GETDATE(),108),':',''),CONVERT(CHAR(8),GETDATE(),112)+REPLACE(CONVERT(CHAR(8),GETDATE(),108),':','')); "</f>
        <v xml:space="preserve">insert into tabutton(button_id, button_no, description, is_use, ord_no,service_type, site_type, version_info, cre_date, upd_date) values(next value for sqabutton_id,'COLSETTING','Setting','N','120','WEB','DREAM','2.00',CONVERT(CHAR(8),GETDATE(),112)+REPLACE(CONVERT(CHAR(8),GETDATE(),108),':',''),CONVERT(CHAR(8),GETDATE(),112)+REPLACE(CONVERT(CHAR(8),GETDATE(),108),':','')); </v>
      </c>
      <c r="AY3" s="14" t="str">
        <f t="shared" ref="AY3:AY7" si="29">AB3&amp;" VALUES (next value for sqapgbtn_id, "&amp;Z3&amp;", "&amp;AA3&amp;", '"&amp;TRIM(E3)&amp;"', '"&amp;TRIM(J3)&amp;"', 'N', '"&amp;TRIM(L3)&amp;"', 'Y', 'N', '"&amp;TRIM(O3)&amp;"', '"&amp;TRIM(N3)&amp;"', '"&amp;TRIM(C3)&amp;"', '"&amp;TRIM(F3)&amp;"', '"&amp;TRIM(Q3)&amp;"', '"&amp;TRIM(R3)&amp;"', '"&amp;TRIM(N3)&amp;"', '"&amp;TRIM(O3)&amp;"',  CONVERT(CHAR(8),GETDATE(),112)+REPLACE(CONVERT(CHAR(8),GETDATE(),108),':',''),  CONVERT(CHAR(8),GETDATE(),112)+REPLACE(CONVERT(CHAR(8),GETDATE(),108),':',''));"</f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'COLSETTING') , 'FILTER', '120', 'N', 'N', 'Y', 'N', 'SETTING', 'BUTTON', 'workPmiList', 'COLSETTING', 'DREAM', '2.00', 'BUTTON', 'SETTING',  CONVERT(CHAR(8),GETDATE(),112)+REPLACE(CONVERT(CHAR(8),GETDATE(),108),':',''),  CONVERT(CHAR(8),GETDATE(),112)+REPLACE(CONVERT(CHAR(8),GETDATE(),108),':',''));</v>
      </c>
      <c r="AZ3" t="s">
        <v>33</v>
      </c>
      <c r="BA3" s="14" t="str">
        <f t="shared" ref="BA3:BA7" si="30">"insert into tabutton(button_id, button_no, description, is_use, ord_no,service_type, site_type, version_info, cre_date, upd_date) values(sqabutton_id.nextval,'"&amp;F3&amp;"','"&amp;G3&amp;"','Y','"&amp;J3&amp;"','"&amp;P3&amp;"','"&amp;Q3&amp;"','"&amp;R3&amp;"',to_char(sysdate,'yyyymmddhh24miss'),to_char(sysdate,'yyyymmddhh24miss')); "</f>
        <v xml:space="preserve">insert into tabutton(button_id, button_no, description, is_use, ord_no,service_type, site_type, version_info, cre_date, upd_date) values(sqabutton_id.nextval,'COLSETTING','Setting','Y','120','WEB','DREAM','2.00',to_char(sysdate,'yyyymmddhh24miss'),to_char(sysdate,'yyyymmddhh24miss')); </v>
      </c>
      <c r="BB3" s="14" t="str">
        <f t="shared" ref="BB3:BB7" si="31">AB3&amp;" VALUES (sqapgbtn_id.NEXTVAL, "&amp;Z3&amp;", "&amp;AA3&amp;", '"&amp;TRIM(E3)&amp;"', '"&amp;TRIM(J3)&amp;"', 'Y', '"&amp;TRIM(L3)&amp;"', 'Y', 'N', '"&amp;TRIM(O3)&amp;"', '"&amp;TRIM(N3)&amp;"', '"&amp;TRIM(C3)&amp;"', '"&amp;TRIM(F3)&amp;"', '"&amp;TRIM(Q3)&amp;"', '"&amp;TRIM(R3)&amp;"', '"&amp;TRIM(N3)&amp;"', '"&amp;TRIM(O3)&amp;"',  to_char(sysdate,'yyyymmddhh24miss'),  to_char(sysdate,'yyyymmddhh24miss'));"</f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'COLSETTING') , 'FILTER', '120', 'Y', 'N', 'Y', 'N', 'SETTING', 'BUTTON', 'workPmiList', 'COLSETTING', 'DREAM', '2.00', 'BUTTON', 'SETTING',  to_char(sysdate,'yyyymmddhh24miss'),  to_char(sysdate,'yyyymmddhh24miss'));</v>
      </c>
      <c r="BC3" s="14" t="str">
        <f t="shared" ref="BC3:BC7" si="32">" update TAPGBTN set remark = '"&amp;G3&amp;"', ord_no = '"&amp;J3&amp;"' ,is_use = '"&amp;K3&amp;"' ,is_chkauth = '"&amp;L3&amp;"' ,key_type = '"&amp;N3&amp;"',key_no = '"&amp;O3&amp;"', file_name = '"&amp;C3&amp;"', button_no = '"&amp;F3&amp;"'  ,version_info = '"&amp;R3&amp;"',basic_key_type = '"&amp;N3&amp;"', basic_key_no = '"&amp;O3&amp;"', upd_date= to_char(sysdate,'yyyymmddhh24miss') , SITE_TYPE='"&amp;Q3&amp;"' where page_id = "&amp;Z3&amp;"  and button_id = "&amp;AA3&amp;"     and button_loc = '"&amp;E3&amp;"' ; "</f>
        <v xml:space="preserve"> update TAPGBTN set remark = 'Setting', ord_no = '120' ,is_use = 'Y' ,is_chkauth = 'N' ,key_type = 'BUTTON',key_no = 'SETTING', file_name = 'workPmiList', button_no = 'COLSETTING'  ,version_info = '2.00',basic_key_type = 'BUTTON', basic_key_no = 'SETTING', upd_date= to_char(sysdate,'yyyymmddhh24miss') , SITE_TYPE='DREAM' where page_id =   (select page_id from tapage where file_name = 'workPmiList')   and button_id =   (select button_id from tabutton where button_no = 'COLSETTING')      and button_loc = 'FILTER' ; </v>
      </c>
      <c r="BD3" s="14" t="str">
        <f t="shared" ref="BD3:BD7" si="33">"insert into tabutton(button_id, button_no, description, is_use, ord_no,service_type, site_type, version_info, cre_date, upd_date) values(next value for sqabutton_id,'"&amp;F3&amp;"','"&amp;G3&amp;"','Y','"&amp;J3&amp;"','"&amp;P3&amp;"','"&amp;Q3&amp;"','"&amp;R3&amp;"',CONVERT(CHAR(8),GETDATE(),112)+REPLACE(CONVERT(CHAR(8),GETDATE(),108),':',''),CONVERT(CHAR(8),GETDATE(),112)+REPLACE(CONVERT(CHAR(8),GETDATE(),108),':','')); "</f>
        <v xml:space="preserve">insert into tabutton(button_id, button_no, description, is_use, ord_no,service_type, site_type, version_info, cre_date, upd_date) values(next value for sqabutton_id,'COLSETTING','Setting','Y','120','WEB','DREAM','2.00',CONVERT(CHAR(8),GETDATE(),112)+REPLACE(CONVERT(CHAR(8),GETDATE(),108),':',''),CONVERT(CHAR(8),GETDATE(),112)+REPLACE(CONVERT(CHAR(8),GETDATE(),108),':','')); </v>
      </c>
      <c r="BE3" s="14" t="str">
        <f t="shared" ref="BE3:BE7" si="34">AB3&amp;" VALUES (next value for sqapgbtn_id, "&amp;Z3&amp;", "&amp;AA3&amp;", '"&amp;TRIM(E3)&amp;"', '"&amp;TRIM(J3)&amp;"', 'Y', '"&amp;TRIM(L3)&amp;"', 'Y', 'N', '"&amp;TRIM(O3)&amp;"', '"&amp;TRIM(N3)&amp;"', '"&amp;TRIM(C3)&amp;"', '"&amp;TRIM(F3)&amp;"', '"&amp;TRIM(Q3)&amp;"', '"&amp;TRIM(R3)&amp;"', '"&amp;TRIM(N3)&amp;"', '"&amp;TRIM(O3)&amp;"',  CONVERT(CHAR(8),GETDATE(),112)+REPLACE(CONVERT(CHAR(8),GETDATE(),108),':',''),  CONVERT(CHAR(8),GETDATE(),112)+REPLACE(CONVERT(CHAR(8),GETDATE(),108),':',''));"</f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'COLSETTING') , 'FILTER', '120', 'Y', 'N', 'Y', 'N', 'SETTING', 'BUTTON', 'workPmiList', 'COLSETTING', 'DREAM', '2.00', 'BUTTON', 'SETTING',  CONVERT(CHAR(8),GETDATE(),112)+REPLACE(CONVERT(CHAR(8),GETDATE(),108),':',''),  CONVERT(CHAR(8),GETDATE(),112)+REPLACE(CONVERT(CHAR(8),GETDATE(),108),':',''));</v>
      </c>
      <c r="BF3" s="13" t="str">
        <f t="shared" ref="BF3:BF7" si="35">" update TAPGBTN set remark = '"&amp;G3&amp;"', ord_no = '"&amp;J3&amp;"' ,is_use = '"&amp;K3&amp;"' ,is_chkauth = '"&amp;L3&amp;"' ,key_type = '"&amp;N3&amp;"',key_no = '"&amp;O3&amp;"', file_name = '"&amp;C3&amp;"', button_no = '"&amp;F3&amp;"'  ,version_info = '"&amp;R3&amp;"',basic_key_type = '"&amp;N3&amp;"', basic_key_no = '"&amp;O3&amp;"', upd_date= CONVERT(CHAR(8),GETDATE(),112)+REPLACE(CONVERT(CHAR(8),GETDATE(),108),':','') , SITE_TYPE='"&amp;Q3&amp;"' where page_id = "&amp;Z3&amp;"  and button_id = "&amp;AA3&amp;"     and button_loc = '"&amp;E3&amp;"' ; "</f>
        <v xml:space="preserve"> update TAPGBTN set remark = 'Setting', ord_no = '120' ,is_use = 'Y' ,is_chkauth = 'N' ,key_type = 'BUTTON',key_no = 'SETTING', file_name = 'workPmiList', button_no = 'COLSETTING'  ,version_info = '2.00',basic_key_type = 'BUTTON', basic_key_no = 'SETTING', upd_date= CONVERT(CHAR(8),GETDATE(),112)+REPLACE(CONVERT(CHAR(8),GETDATE(),108),':','') , SITE_TYPE='DREAM' where page_id =   (select page_id from tapage where file_name = 'workPmiList')   and button_id =   (select button_id from tabutton where button_no = 'COLSETTING')      and button_loc = 'FILTER' ; </v>
      </c>
      <c r="BG3" t="s">
        <v>33</v>
      </c>
    </row>
    <row r="4" spans="1:59" x14ac:dyDescent="0.3">
      <c r="A4" s="14">
        <v>3</v>
      </c>
      <c r="B4" s="14" t="s">
        <v>36</v>
      </c>
      <c r="C4" s="16" t="s">
        <v>42</v>
      </c>
      <c r="D4" s="16" t="s">
        <v>43</v>
      </c>
      <c r="E4" s="16" t="s">
        <v>1</v>
      </c>
      <c r="F4" s="16" t="s">
        <v>52</v>
      </c>
      <c r="G4" s="16" t="s">
        <v>5</v>
      </c>
      <c r="H4" s="16" t="s">
        <v>313</v>
      </c>
      <c r="I4" s="15"/>
      <c r="J4" s="16" t="s">
        <v>300</v>
      </c>
      <c r="K4" s="16" t="s">
        <v>38</v>
      </c>
      <c r="L4" s="16" t="s">
        <v>44</v>
      </c>
      <c r="M4" s="15"/>
      <c r="N4" s="16" t="s">
        <v>47</v>
      </c>
      <c r="O4" s="16" t="s">
        <v>52</v>
      </c>
      <c r="P4" s="16" t="s">
        <v>2</v>
      </c>
      <c r="Q4" s="16" t="s">
        <v>39</v>
      </c>
      <c r="R4" s="17" t="s">
        <v>40</v>
      </c>
      <c r="T4" s="15" t="str">
        <f t="shared" si="3"/>
        <v xml:space="preserve">insert into tabutton(button_id, button_no, description, is_use, ord_no,service_type, site_type, version_info, cre_date, upd_date) values(sqabutton_id.nextval,'OPEN','상세보기','Y','110','WEB','DREAM','2.00',to_char(sysdate,'yyyymmddhh24miss'),to_char(sysdate,'yyyymmddhh24miss')); </v>
      </c>
      <c r="U4" s="15" t="str">
        <f t="shared" si="4"/>
        <v xml:space="preserve">update tabutton set description='상세보기', is_use='Y', ord_no='110',service_type='WEB', site_type='DREAM',version_info='2.00',upd_date=to_char(sysdate,'yyyymmddhh24miss') where button_no = 'OPEN' ; </v>
      </c>
      <c r="V4" t="s">
        <v>33</v>
      </c>
      <c r="W4" s="15" t="str">
        <f t="shared" si="5"/>
        <v xml:space="preserve">insert into tabutton(button_id, button_no, description, is_use, ord_no,service_type, site_type, version_info, cre_date, upd_date) values(next value for sqabutton_id,'OPEN','상세보기','Y','110','WEB','DREAM','2.00',CONVERT(CHAR(8),GETDATE(),112)+REPLACE(CONVERT(CHAR(8),GETDATE(),108),':',''),CONVERT(CHAR(8),GETDATE(),112)+REPLACE(CONVERT(CHAR(8),GETDATE(),108),':','')); </v>
      </c>
      <c r="X4" s="15" t="str">
        <f t="shared" si="6"/>
        <v xml:space="preserve">update tabutton set description='상세보기', is_use='Y', ord_no='110',service_type='WEB', site_type='DREAM',version_info='2.00',upd_date=CONVERT(CHAR(8),GETDATE(),112)+REPLACE(CONVERT(CHAR(8),GETDATE(),108),':','') where button_no = 'OPEN' ; </v>
      </c>
      <c r="Y4" t="s">
        <v>33</v>
      </c>
      <c r="Z4" s="15" t="str">
        <f t="shared" si="7"/>
        <v xml:space="preserve">  (select page_id from tapage where file_name = 'workPmiList') </v>
      </c>
      <c r="AA4" s="15" t="str">
        <f t="shared" si="8"/>
        <v xml:space="preserve">  (select button_id from tabutton where button_no = 'OPEN') </v>
      </c>
      <c r="AB4" s="15" t="str">
        <f t="shared" si="9"/>
        <v>INSERT INTO TAPGBTN (pgbtn_id, page_id, button_id, button_loc, ord_no, is_use, is_chkauth, is_basic, is_set_group, key_no, key_type, file_name, button_no, site_type, version_info, basic_key_type, basic_key_no, cre_date, upd_date)</v>
      </c>
      <c r="AC4" t="s">
        <v>33</v>
      </c>
      <c r="AD4" s="15" t="str">
        <f t="shared" si="10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'OPEN') , 'LIST', '110', 'Y', 'N', 'Y', 'N', 'OPEN', 'BUTTON', 'workPmiList', 'OPEN', 'DREAM', '2.00', 'BUTTON', 'OPEN',  to_char(sysdate,'yyyymmddhh24miss'),  to_char(sysdate,'yyyymmddhh24miss'));</v>
      </c>
      <c r="AE4" s="15" t="str">
        <f t="shared" si="11"/>
        <v xml:space="preserve"> update TAPGBTN set remark = '상세보기', ord_no = '110' ,is_use = 'Y' ,is_chkauth = 'N' ,key_type = 'BUTTON',key_no = 'OPEN', file_name = 'workPmiList', button_no = 'OPEN'  ,version_info = '2.00',basic_key_type = 'BUTTON', basic_key_no = 'OPEN', upd_date= to_char(sysdate,'yyyymmddhh24miss') , SITE_TYPE='DREAM' where page_id =   (select page_id from tapage where file_name = 'workPmiList')   and button_id =   (select button_id from tabutton where button_no = 'OPEN')      and button_loc = 'LIST' ; </v>
      </c>
      <c r="AF4" s="15" t="str">
        <f t="shared" si="12"/>
        <v xml:space="preserve"> insert into talang(lang_id, lang, key_type, key_no, key_name, upd_date,is_comm_js_use, use_web, use_android, cre_date, site_type, version_info, basic_key_name) values(sqalang_id.nextval, 'ko','BUTTON','OPEN','상세보기',to_char(sysdate,'yyyymmddhh24miss'),'N','Y','N',to_char(sysdate,'yyyymmddhh24miss'),'DREAM','2.00','상세보기'); </v>
      </c>
      <c r="AG4" s="15" t="str">
        <f t="shared" si="13"/>
        <v xml:space="preserve">update talang set key_name = '상세보기', basic_key_name = '상세보기',site_type = 'DREAM', version_info = '2.00',  upd_date = to_char(sysdate,'yyyymmddhh24miss')  where lang = 'ko' and key_type =  'BUTTON' and key_no =  'OPEN' ; </v>
      </c>
      <c r="AH4" s="15" t="str">
        <f t="shared" si="14"/>
        <v xml:space="preserve"> insert into talang(lang_id, lang, key_type, key_no, key_name, upd_date,is_comm_js_use, use_web, use_android, cre_date, site_type, version_info, basic_key_name) values(sqalang_id.nextval, 'en','BUTTON','OPEN','Open',to_char(sysdate,'yyyymmddhh24miss'),'N','Y','N',to_char(sysdate,'yyyymmddhh24miss'),'DREAM','2.00','Open'); </v>
      </c>
      <c r="AI4" s="15" t="str">
        <f t="shared" si="15"/>
        <v xml:space="preserve">update talang set key_name = 'Open', basic_key_name = 'Open',site_type = 'DREAM', version_info = '2.00',  upd_date = to_char(sysdate,'yyyymmddhh24miss')  where lang = 'en' and key_type =  'BUTTON' and key_no =  'OPEN' ; </v>
      </c>
      <c r="AJ4" s="15" t="str">
        <f t="shared" si="16"/>
        <v xml:space="preserve"> insert into talang(lang_id, lang, key_type, key_no, key_name, upd_date,is_comm_js_use, use_web, use_android, cre_date, site_type, version_info, basic_key_name) values(sqalang_id.nextval, 'cn','','OPEN','Open',to_char(sysdate,'yyyymmddhh24miss'),'N','Y','N',to_char(sysdate,'yyyymmddhh24miss'),'DREAM','2.00',''); </v>
      </c>
      <c r="AK4" s="15" t="str">
        <f t="shared" si="17"/>
        <v xml:space="preserve">update talang set key_name = '', basic_key_name = '',site_type = 'DREAM', version_info = '2.00',  upd_date = to_char(sysdate,'yyyymmddhh24miss')  where lang = 'cn' and key_type =  'BUTTON' and key_no =  'OPEN' ; </v>
      </c>
      <c r="AL4" t="s">
        <v>33</v>
      </c>
      <c r="AM4" s="15" t="str">
        <f t="shared" si="18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'OPEN') , 'LIST', '110', 'Y', 'N', 'Y', 'N', 'OPEN', 'BUTTON', 'workPmiList', 'OPEN', 'DREAM', '2.00', 'BUTTON', 'OPEN',  CONVERT(CHAR(8),GETDATE(),112)+REPLACE(CONVERT(CHAR(8),GETDATE(),108),':',''),  CONVERT(CHAR(8),GETDATE(),112)+REPLACE(CONVERT(CHAR(8),GETDATE(),108),':',''));</v>
      </c>
      <c r="AN4" s="15" t="str">
        <f t="shared" si="19"/>
        <v xml:space="preserve"> update TAPGBTN set remark = '상세보기', ord_no = '110' ,is_use = 'Y' ,is_chkauth = 'N' ,key_type = 'BUTTON',key_no = 'OPEN', file_name = 'workPmiList', button_no = 'OPEN'  ,version_info = '2.00',basic_key_type = 'BUTTON', basic_key_no = 'OPEN', upd_date= CONVERT(CHAR(8),GETDATE(),112)+REPLACE(CONVERT(CHAR(8),GETDATE(),108),':','') , SITE_TYPE='DREAM' where page_id =   (select page_id from tapage where file_name = 'workPmiList')   and button_id =   (select button_id from tabutton where button_no = 'OPEN')      and button_loc = 'LIST' ; </v>
      </c>
      <c r="AO4" s="15" t="str">
        <f t="shared" si="20"/>
        <v xml:space="preserve"> insert into talang(lang_id, lang, key_type, key_no, key_name, upd_date,is_comm_js_use, use_web, use_android, cre_date, site_type, version_info, basic_key_name) values(next value for sqalang_id, 'ko','BUTTON','OPEN','상세보기',CONVERT(CHAR(8),GETDATE(),112)+REPLACE(CONVERT(CHAR(8),GETDATE(),108),':',''),'N','Y','N',CONVERT(CHAR(8),GETDATE(),112)+REPLACE(CONVERT(CHAR(8),GETDATE(),108),':',''),'DREAM','2.00','상세보기'); </v>
      </c>
      <c r="AP4" s="15" t="str">
        <f t="shared" si="21"/>
        <v xml:space="preserve">update talang set key_name = '상세보기', basic_key_name = '상세보기',site_type = 'DREAM', version_info = '2.00',  upd_date = CONVERT(CHAR(8),GETDATE(),112)+REPLACE(CONVERT(CHAR(8),GETDATE(),108),':','')  where lang = 'ko' and key_type =  'BUTTON' and key_no =  'OPEN' ; </v>
      </c>
      <c r="AQ4" s="15" t="str">
        <f t="shared" si="22"/>
        <v xml:space="preserve"> insert into talang(lang_id, lang, key_type, key_no, key_name, upd_date,is_comm_js_use, use_web, use_android, cre_date, site_type, version_info, basic_key_name) values(next value for sqalang_id, 'en','BUTTON','OPEN','Open',CONVERT(CHAR(8),GETDATE(),112)+REPLACE(CONVERT(CHAR(8),GETDATE(),108),':',''),'N','Y','N',CONVERT(CHAR(8),GETDATE(),112)+REPLACE(CONVERT(CHAR(8),GETDATE(),108),':',''),'DREAM','2.00','Open'); </v>
      </c>
      <c r="AR4" s="15" t="str">
        <f t="shared" si="23"/>
        <v xml:space="preserve">update talang set key_name = 'Open', basic_key_name = 'Open',site_type = 'DREAM', version_info = '2.00',  upd_date = CONVERT(CHAR(8),GETDATE(),112)+REPLACE(CONVERT(CHAR(8),GETDATE(),108),':','')  where lang = 'en' and key_type =  'BUTTON' and key_no =  'OPEN' ; </v>
      </c>
      <c r="AS4" s="15" t="str">
        <f t="shared" si="24"/>
        <v xml:space="preserve"> insert into talang(lang_id, lang, key_type, key_no, key_name, upd_date,is_comm_js_use, use_web, use_android, cre_date, site_type, version_info, basic_key_name) values(next value for sqalang_id, 'cn','BUTTON','OPEN','',CONVERT(CHAR(8),GETDATE(),112)+REPLACE(CONVERT(CHAR(8),GETDATE(),108),':',''),'N','Y','N',CONVERT(CHAR(8),GETDATE(),112)+REPLACE(CONVERT(CHAR(8),GETDATE(),108),':',''),'DREAM','2.00',''); </v>
      </c>
      <c r="AT4" s="15" t="str">
        <f t="shared" si="25"/>
        <v xml:space="preserve">update talang set key_name = '', basic_key_name = '',site_type = 'DREAM', version_info = '2.00',  upd_date = CONVERT(CHAR(8),GETDATE(),112)+REPLACE(CONVERT(CHAR(8),GETDATE(),108),':','')  where lang = 'cn' and key_type =  'BUTTON' and key_no =  'OPEN' ; </v>
      </c>
      <c r="AU4" t="s">
        <v>33</v>
      </c>
      <c r="AV4" s="15" t="str">
        <f t="shared" si="26"/>
        <v xml:space="preserve">insert into tabutton(button_id, button_no, description, is_use, ord_no,service_type, site_type, version_info, cre_date, upd_date) values(sqabutton_id.nextval,'OPEN','상세보기','N','110','WEB','DREAM','2.00',to_char(sysdate,'yyyymmddhh24miss'),to_char(sysdate,'yyyymmddhh24miss')); </v>
      </c>
      <c r="AW4" s="15" t="str">
        <f t="shared" si="27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'OPEN') , 'LIST', '110', 'N', 'N', 'Y', 'N', 'OPEN', 'BUTTON', 'workPmiList', 'OPEN', 'DREAM', '2.00', 'BUTTON', 'OPEN',  to_char(sysdate,'yyyymmddhh24miss'),  to_char(sysdate,'yyyymmddhh24miss'));</v>
      </c>
      <c r="AX4" s="14" t="str">
        <f t="shared" si="28"/>
        <v xml:space="preserve">insert into tabutton(button_id, button_no, description, is_use, ord_no,service_type, site_type, version_info, cre_date, upd_date) values(next value for sqabutton_id,'OPEN','상세보기','N','110','WEB','DREAM','2.00',CONVERT(CHAR(8),GETDATE(),112)+REPLACE(CONVERT(CHAR(8),GETDATE(),108),':',''),CONVERT(CHAR(8),GETDATE(),112)+REPLACE(CONVERT(CHAR(8),GETDATE(),108),':','')); </v>
      </c>
      <c r="AY4" s="14" t="str">
        <f t="shared" si="29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'OPEN') , 'LIST', '110', 'N', 'N', 'Y', 'N', 'OPEN', 'BUTTON', 'workPmiList', 'OPEN', 'DREAM', '2.00', 'BUTTON', 'OPEN',  CONVERT(CHAR(8),GETDATE(),112)+REPLACE(CONVERT(CHAR(8),GETDATE(),108),':',''),  CONVERT(CHAR(8),GETDATE(),112)+REPLACE(CONVERT(CHAR(8),GETDATE(),108),':',''));</v>
      </c>
      <c r="AZ4" t="s">
        <v>33</v>
      </c>
      <c r="BA4" s="14" t="str">
        <f t="shared" si="30"/>
        <v xml:space="preserve">insert into tabutton(button_id, button_no, description, is_use, ord_no,service_type, site_type, version_info, cre_date, upd_date) values(sqabutton_id.nextval,'OPEN','상세보기','Y','110','WEB','DREAM','2.00',to_char(sysdate,'yyyymmddhh24miss'),to_char(sysdate,'yyyymmddhh24miss')); </v>
      </c>
      <c r="BB4" s="14" t="str">
        <f t="shared" si="31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'OPEN') , 'LIST', '110', 'Y', 'N', 'Y', 'N', 'OPEN', 'BUTTON', 'workPmiList', 'OPEN', 'DREAM', '2.00', 'BUTTON', 'OPEN',  to_char(sysdate,'yyyymmddhh24miss'),  to_char(sysdate,'yyyymmddhh24miss'));</v>
      </c>
      <c r="BC4" s="14" t="str">
        <f t="shared" si="32"/>
        <v xml:space="preserve"> update TAPGBTN set remark = '상세보기', ord_no = '110' ,is_use = 'Y' ,is_chkauth = 'N' ,key_type = 'BUTTON',key_no = 'OPEN', file_name = 'workPmiList', button_no = 'OPEN'  ,version_info = '2.00',basic_key_type = 'BUTTON', basic_key_no = 'OPEN', upd_date= to_char(sysdate,'yyyymmddhh24miss') , SITE_TYPE='DREAM' where page_id =   (select page_id from tapage where file_name = 'workPmiList')   and button_id =   (select button_id from tabutton where button_no = 'OPEN')      and button_loc = 'LIST' ; </v>
      </c>
      <c r="BD4" s="14" t="str">
        <f t="shared" si="33"/>
        <v xml:space="preserve">insert into tabutton(button_id, button_no, description, is_use, ord_no,service_type, site_type, version_info, cre_date, upd_date) values(next value for sqabutton_id,'OPEN','상세보기','Y','110','WEB','DREAM','2.00',CONVERT(CHAR(8),GETDATE(),112)+REPLACE(CONVERT(CHAR(8),GETDATE(),108),':',''),CONVERT(CHAR(8),GETDATE(),112)+REPLACE(CONVERT(CHAR(8),GETDATE(),108),':','')); </v>
      </c>
      <c r="BE4" s="14" t="str">
        <f t="shared" si="34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'OPEN') , 'LIST', '110', 'Y', 'N', 'Y', 'N', 'OPEN', 'BUTTON', 'workPmiList', 'OPEN', 'DREAM', '2.00', 'BUTTON', 'OPEN',  CONVERT(CHAR(8),GETDATE(),112)+REPLACE(CONVERT(CHAR(8),GETDATE(),108),':',''),  CONVERT(CHAR(8),GETDATE(),112)+REPLACE(CONVERT(CHAR(8),GETDATE(),108),':',''));</v>
      </c>
      <c r="BF4" s="13" t="str">
        <f t="shared" si="35"/>
        <v xml:space="preserve"> update TAPGBTN set remark = '상세보기', ord_no = '110' ,is_use = 'Y' ,is_chkauth = 'N' ,key_type = 'BUTTON',key_no = 'OPEN', file_name = 'workPmiList', button_no = 'OPEN'  ,version_info = '2.00',basic_key_type = 'BUTTON', basic_key_no = 'OPEN', upd_date= CONVERT(CHAR(8),GETDATE(),112)+REPLACE(CONVERT(CHAR(8),GETDATE(),108),':','') , SITE_TYPE='DREAM' where page_id =   (select page_id from tapage where file_name = 'workPmiList')   and button_id =   (select button_id from tabutton where button_no = 'OPEN')      and button_loc = 'LIST' ; </v>
      </c>
      <c r="BG4" t="s">
        <v>33</v>
      </c>
    </row>
    <row r="5" spans="1:59" x14ac:dyDescent="0.3">
      <c r="A5" s="15">
        <v>4</v>
      </c>
      <c r="B5" s="14" t="s">
        <v>36</v>
      </c>
      <c r="C5" s="16" t="s">
        <v>42</v>
      </c>
      <c r="D5" s="16" t="s">
        <v>43</v>
      </c>
      <c r="E5" s="16" t="s">
        <v>1</v>
      </c>
      <c r="F5" s="16" t="s">
        <v>53</v>
      </c>
      <c r="G5" s="16" t="s">
        <v>4</v>
      </c>
      <c r="H5" s="16" t="s">
        <v>314</v>
      </c>
      <c r="I5" s="15"/>
      <c r="J5" s="16" t="s">
        <v>301</v>
      </c>
      <c r="K5" s="16" t="s">
        <v>44</v>
      </c>
      <c r="L5" s="16" t="s">
        <v>38</v>
      </c>
      <c r="M5" s="15"/>
      <c r="N5" s="16" t="s">
        <v>47</v>
      </c>
      <c r="O5" s="16" t="s">
        <v>53</v>
      </c>
      <c r="P5" s="16" t="s">
        <v>2</v>
      </c>
      <c r="Q5" s="16" t="s">
        <v>304</v>
      </c>
      <c r="R5" s="36" t="s">
        <v>305</v>
      </c>
      <c r="T5" s="15" t="str">
        <f t="shared" si="3"/>
        <v xml:space="preserve">insert into tabutton(button_id, button_no, description, is_use, ord_no,service_type, site_type, version_info, cre_date, upd_date) values(sqabutton_id.nextval,'DELETE','삭제','Y','120','WEB','TBD','1.00',to_char(sysdate,'yyyymmddhh24miss'),to_char(sysdate,'yyyymmddhh24miss')); </v>
      </c>
      <c r="U5" s="15" t="str">
        <f t="shared" si="4"/>
        <v xml:space="preserve">update tabutton set description='삭제', is_use='Y', ord_no='120',service_type='WEB', site_type='TBD',version_info='1.00',upd_date=to_char(sysdate,'yyyymmddhh24miss') where button_no = 'DELETE' ; </v>
      </c>
      <c r="V5" t="s">
        <v>33</v>
      </c>
      <c r="W5" s="15" t="str">
        <f t="shared" si="5"/>
        <v xml:space="preserve">insert into tabutton(button_id, button_no, description, is_use, ord_no,service_type, site_type, version_info, cre_date, upd_date) values(next value for sqabutton_id,'DELETE','삭제','Y','120','WEB','TBD','1.00',CONVERT(CHAR(8),GETDATE(),112)+REPLACE(CONVERT(CHAR(8),GETDATE(),108),':',''),CONVERT(CHAR(8),GETDATE(),112)+REPLACE(CONVERT(CHAR(8),GETDATE(),108),':','')); </v>
      </c>
      <c r="X5" s="15" t="str">
        <f t="shared" si="6"/>
        <v xml:space="preserve">update tabutton set description='삭제', is_use='Y', ord_no='120',service_type='WEB', site_type='TBD',version_info='1.00',upd_date=CONVERT(CHAR(8),GETDATE(),112)+REPLACE(CONVERT(CHAR(8),GETDATE(),108),':','') where button_no = 'DELETE' ; </v>
      </c>
      <c r="Y5" t="s">
        <v>33</v>
      </c>
      <c r="Z5" s="15" t="str">
        <f t="shared" si="7"/>
        <v xml:space="preserve">  (select page_id from tapage where file_name = 'workPmiList') </v>
      </c>
      <c r="AA5" s="15" t="str">
        <f t="shared" si="8"/>
        <v xml:space="preserve">  (select button_id from tabutton where button_no = 'DELETE') </v>
      </c>
      <c r="AB5" s="15" t="str">
        <f t="shared" si="9"/>
        <v>INSERT INTO TAPGBTN (pgbtn_id, page_id, button_id, button_loc, ord_no, is_use, is_chkauth, is_basic, is_set_group, key_no, key_type, file_name, button_no, site_type, version_info, basic_key_type, basic_key_no, cre_date, upd_date)</v>
      </c>
      <c r="AC5" t="s">
        <v>33</v>
      </c>
      <c r="AD5" s="15" t="str">
        <f t="shared" si="10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'DELETE') , 'LIST', '120', 'N', 'Y', 'Y', 'N', 'DELETE', 'BUTTON', 'workPmiList', 'DELETE', 'TBD', '1.00', 'BUTTON', 'DELETE',  to_char(sysdate,'yyyymmddhh24miss'),  to_char(sysdate,'yyyymmddhh24miss'));</v>
      </c>
      <c r="AE5" s="15" t="str">
        <f t="shared" si="11"/>
        <v xml:space="preserve"> update TAPGBTN set remark = '삭제', ord_no = '120' ,is_use = 'N' ,is_chkauth = 'Y' ,key_type = 'BUTTON',key_no = 'DELETE', file_name = 'workPmiList', button_no = 'DELETE'  ,version_info = '1.00',basic_key_type = 'BUTTON', basic_key_no = 'DELETE', upd_date= to_char(sysdate,'yyyymmddhh24miss') , SITE_TYPE='TBD' where page_id =   (select page_id from tapage where file_name = 'workPmiList')   and button_id =   (select button_id from tabutton where button_no = 'DELETE')      and button_loc = 'LIST' ; </v>
      </c>
      <c r="AF5" s="15" t="str">
        <f t="shared" si="12"/>
        <v xml:space="preserve"> insert into talang(lang_id, lang, key_type, key_no, key_name, upd_date,is_comm_js_use, use_web, use_android, cre_date, site_type, version_info, basic_key_name) values(sqalang_id.nextval, 'ko','BUTTON','DELETE','삭제',to_char(sysdate,'yyyymmddhh24miss'),'N','Y','N',to_char(sysdate,'yyyymmddhh24miss'),'TBD','1.00','삭제'); </v>
      </c>
      <c r="AG5" s="15" t="str">
        <f t="shared" si="13"/>
        <v xml:space="preserve">update talang set key_name = '삭제', basic_key_name = '삭제',site_type = 'TBD', version_info = '1.00',  upd_date = to_char(sysdate,'yyyymmddhh24miss')  where lang = 'ko' and key_type =  'BUTTON' and key_no =  'DELETE' ; </v>
      </c>
      <c r="AH5" s="15" t="str">
        <f t="shared" si="14"/>
        <v xml:space="preserve"> insert into talang(lang_id, lang, key_type, key_no, key_name, upd_date,is_comm_js_use, use_web, use_android, cre_date, site_type, version_info, basic_key_name) values(sqalang_id.nextval, 'en','BUTTON','DELETE','Delete',to_char(sysdate,'yyyymmddhh24miss'),'N','Y','N',to_char(sysdate,'yyyymmddhh24miss'),'TBD','1.00','Delete'); </v>
      </c>
      <c r="AI5" s="15" t="str">
        <f t="shared" si="15"/>
        <v xml:space="preserve">update talang set key_name = 'Delete', basic_key_name = 'Delete',site_type = 'TBD', version_info = '1.00',  upd_date = to_char(sysdate,'yyyymmddhh24miss')  where lang = 'en' and key_type =  'BUTTON' and key_no =  'DELETE' ; </v>
      </c>
      <c r="AJ5" s="15" t="str">
        <f t="shared" si="16"/>
        <v xml:space="preserve"> insert into talang(lang_id, lang, key_type, key_no, key_name, upd_date,is_comm_js_use, use_web, use_android, cre_date, site_type, version_info, basic_key_name) values(sqalang_id.nextval, 'cn','','DELETE','Delete',to_char(sysdate,'yyyymmddhh24miss'),'N','Y','N',to_char(sysdate,'yyyymmddhh24miss'),'TBD','1.00',''); </v>
      </c>
      <c r="AK5" s="15" t="str">
        <f t="shared" si="17"/>
        <v xml:space="preserve">update talang set key_name = '', basic_key_name = '',site_type = 'TBD', version_info = '1.00',  upd_date = to_char(sysdate,'yyyymmddhh24miss')  where lang = 'cn' and key_type =  'BUTTON' and key_no =  'DELETE' ; </v>
      </c>
      <c r="AL5" t="s">
        <v>33</v>
      </c>
      <c r="AM5" s="15" t="str">
        <f t="shared" si="18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'DELETE') , 'LIST', '120', 'N', 'Y', 'Y', 'N', 'DELETE', 'BUTTON', 'workPmiList', 'DELETE', 'TBD', '1.00', 'BUTTON', 'DELETE',  CONVERT(CHAR(8),GETDATE(),112)+REPLACE(CONVERT(CHAR(8),GETDATE(),108),':',''),  CONVERT(CHAR(8),GETDATE(),112)+REPLACE(CONVERT(CHAR(8),GETDATE(),108),':',''));</v>
      </c>
      <c r="AN5" s="15" t="str">
        <f t="shared" si="19"/>
        <v xml:space="preserve"> update TAPGBTN set remark = '삭제', ord_no = '120' ,is_use = 'N' ,is_chkauth = 'Y' ,key_type = 'BUTTON',key_no = 'DELETE', file_name = 'workPmiList', button_no = 'DELETE'  ,version_info = '1.00',basic_key_type = 'BUTTON', basic_key_no = 'DELETE', upd_date= CONVERT(CHAR(8),GETDATE(),112)+REPLACE(CONVERT(CHAR(8),GETDATE(),108),':','') , SITE_TYPE='TBD' where page_id =   (select page_id from tapage where file_name = 'workPmiList')   and button_id =   (select button_id from tabutton where button_no = 'DELETE')      and button_loc = 'LIST' ; </v>
      </c>
      <c r="AO5" s="15" t="str">
        <f t="shared" si="20"/>
        <v xml:space="preserve"> insert into talang(lang_id, lang, key_type, key_no, key_name, upd_date,is_comm_js_use, use_web, use_android, cre_date, site_type, version_info, basic_key_name) values(next value for sqalang_id, 'ko','BUTTON','DELETE','삭제',CONVERT(CHAR(8),GETDATE(),112)+REPLACE(CONVERT(CHAR(8),GETDATE(),108),':',''),'N','Y','N',CONVERT(CHAR(8),GETDATE(),112)+REPLACE(CONVERT(CHAR(8),GETDATE(),108),':',''),'TBD','1.00','삭제'); </v>
      </c>
      <c r="AP5" s="15" t="str">
        <f t="shared" si="21"/>
        <v xml:space="preserve">update talang set key_name = '삭제', basic_key_name = '삭제',site_type = 'TBD', version_info = '1.00',  upd_date = CONVERT(CHAR(8),GETDATE(),112)+REPLACE(CONVERT(CHAR(8),GETDATE(),108),':','')  where lang = 'ko' and key_type =  'BUTTON' and key_no =  'DELETE' ; </v>
      </c>
      <c r="AQ5" s="15" t="str">
        <f t="shared" si="22"/>
        <v xml:space="preserve"> insert into talang(lang_id, lang, key_type, key_no, key_name, upd_date,is_comm_js_use, use_web, use_android, cre_date, site_type, version_info, basic_key_name) values(next value for sqalang_id, 'en','BUTTON','DELETE','Delete',CONVERT(CHAR(8),GETDATE(),112)+REPLACE(CONVERT(CHAR(8),GETDATE(),108),':',''),'N','Y','N',CONVERT(CHAR(8),GETDATE(),112)+REPLACE(CONVERT(CHAR(8),GETDATE(),108),':',''),'TBD','1.00','Delete'); </v>
      </c>
      <c r="AR5" s="15" t="str">
        <f t="shared" si="23"/>
        <v xml:space="preserve">update talang set key_name = 'Delete', basic_key_name = 'Delete',site_type = 'TBD', version_info = '1.00',  upd_date = CONVERT(CHAR(8),GETDATE(),112)+REPLACE(CONVERT(CHAR(8),GETDATE(),108),':','')  where lang = 'en' and key_type =  'BUTTON' and key_no =  'DELETE' ; </v>
      </c>
      <c r="AS5" s="15" t="str">
        <f t="shared" si="24"/>
        <v xml:space="preserve"> insert into talang(lang_id, lang, key_type, key_no, key_name, upd_date,is_comm_js_use, use_web, use_android, cre_date, site_type, version_info, basic_key_name) values(next value for sqalang_id, 'cn','BUTTON','DELETE','',CONVERT(CHAR(8),GETDATE(),112)+REPLACE(CONVERT(CHAR(8),GETDATE(),108),':',''),'N','Y','N',CONVERT(CHAR(8),GETDATE(),112)+REPLACE(CONVERT(CHAR(8),GETDATE(),108),':',''),'TBD','1.00',''); </v>
      </c>
      <c r="AT5" s="15" t="str">
        <f t="shared" si="25"/>
        <v xml:space="preserve">update talang set key_name = '', basic_key_name = '',site_type = 'TBD', version_info = '1.00',  upd_date = CONVERT(CHAR(8),GETDATE(),112)+REPLACE(CONVERT(CHAR(8),GETDATE(),108),':','')  where lang = 'cn' and key_type =  'BUTTON' and key_no =  'DELETE' ; </v>
      </c>
      <c r="AU5" t="s">
        <v>33</v>
      </c>
      <c r="AV5" s="15" t="str">
        <f t="shared" si="26"/>
        <v xml:space="preserve">insert into tabutton(button_id, button_no, description, is_use, ord_no,service_type, site_type, version_info, cre_date, upd_date) values(sqabutton_id.nextval,'DELETE','삭제','N','120','WEB','TBD','1.00',to_char(sysdate,'yyyymmddhh24miss'),to_char(sysdate,'yyyymmddhh24miss')); </v>
      </c>
      <c r="AW5" s="15" t="str">
        <f t="shared" si="27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'DELETE') , 'LIST', '120', 'N', 'Y', 'Y', 'N', 'DELETE', 'BUTTON', 'workPmiList', 'DELETE', 'TBD', '1.00', 'BUTTON', 'DELETE',  to_char(sysdate,'yyyymmddhh24miss'),  to_char(sysdate,'yyyymmddhh24miss'));</v>
      </c>
      <c r="AX5" s="14" t="str">
        <f t="shared" si="28"/>
        <v xml:space="preserve">insert into tabutton(button_id, button_no, description, is_use, ord_no,service_type, site_type, version_info, cre_date, upd_date) values(next value for sqabutton_id,'DELETE','삭제','N','120','WEB','TBD','1.00',CONVERT(CHAR(8),GETDATE(),112)+REPLACE(CONVERT(CHAR(8),GETDATE(),108),':',''),CONVERT(CHAR(8),GETDATE(),112)+REPLACE(CONVERT(CHAR(8),GETDATE(),108),':','')); </v>
      </c>
      <c r="AY5" s="14" t="str">
        <f t="shared" si="29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'DELETE') , 'LIST', '120', 'N', 'Y', 'Y', 'N', 'DELETE', 'BUTTON', 'workPmiList', 'DELETE', 'TBD', '1.00', 'BUTTON', 'DELETE',  CONVERT(CHAR(8),GETDATE(),112)+REPLACE(CONVERT(CHAR(8),GETDATE(),108),':',''),  CONVERT(CHAR(8),GETDATE(),112)+REPLACE(CONVERT(CHAR(8),GETDATE(),108),':',''));</v>
      </c>
      <c r="AZ5" t="s">
        <v>33</v>
      </c>
      <c r="BA5" s="14" t="str">
        <f t="shared" si="30"/>
        <v xml:space="preserve">insert into tabutton(button_id, button_no, description, is_use, ord_no,service_type, site_type, version_info, cre_date, upd_date) values(sqabutton_id.nextval,'DELETE','삭제','Y','120','WEB','TBD','1.00',to_char(sysdate,'yyyymmddhh24miss'),to_char(sysdate,'yyyymmddhh24miss')); </v>
      </c>
      <c r="BB5" s="14" t="str">
        <f t="shared" si="31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'DELETE') , 'LIST', '120', 'Y', 'Y', 'Y', 'N', 'DELETE', 'BUTTON', 'workPmiList', 'DELETE', 'TBD', '1.00', 'BUTTON', 'DELETE',  to_char(sysdate,'yyyymmddhh24miss'),  to_char(sysdate,'yyyymmddhh24miss'));</v>
      </c>
      <c r="BC5" s="14" t="str">
        <f t="shared" si="32"/>
        <v xml:space="preserve"> update TAPGBTN set remark = '삭제', ord_no = '120' ,is_use = 'N' ,is_chkauth = 'Y' ,key_type = 'BUTTON',key_no = 'DELETE', file_name = 'workPmiList', button_no = 'DELETE'  ,version_info = '1.00',basic_key_type = 'BUTTON', basic_key_no = 'DELETE', upd_date= to_char(sysdate,'yyyymmddhh24miss') , SITE_TYPE='TBD' where page_id =   (select page_id from tapage where file_name = 'workPmiList')   and button_id =   (select button_id from tabutton where button_no = 'DELETE')      and button_loc = 'LIST' ; </v>
      </c>
      <c r="BD5" s="14" t="str">
        <f t="shared" si="33"/>
        <v xml:space="preserve">insert into tabutton(button_id, button_no, description, is_use, ord_no,service_type, site_type, version_info, cre_date, upd_date) values(next value for sqabutton_id,'DELETE','삭제','Y','120','WEB','TBD','1.00',CONVERT(CHAR(8),GETDATE(),112)+REPLACE(CONVERT(CHAR(8),GETDATE(),108),':',''),CONVERT(CHAR(8),GETDATE(),112)+REPLACE(CONVERT(CHAR(8),GETDATE(),108),':','')); </v>
      </c>
      <c r="BE5" s="14" t="str">
        <f t="shared" si="34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'DELETE') , 'LIST', '120', 'Y', 'Y', 'Y', 'N', 'DELETE', 'BUTTON', 'workPmiList', 'DELETE', 'TBD', '1.00', 'BUTTON', 'DELETE',  CONVERT(CHAR(8),GETDATE(),112)+REPLACE(CONVERT(CHAR(8),GETDATE(),108),':',''),  CONVERT(CHAR(8),GETDATE(),112)+REPLACE(CONVERT(CHAR(8),GETDATE(),108),':',''));</v>
      </c>
      <c r="BF5" s="13" t="str">
        <f t="shared" si="35"/>
        <v xml:space="preserve"> update TAPGBTN set remark = '삭제', ord_no = '120' ,is_use = 'N' ,is_chkauth = 'Y' ,key_type = 'BUTTON',key_no = 'DELETE', file_name = 'workPmiList', button_no = 'DELETE'  ,version_info = '1.00',basic_key_type = 'BUTTON', basic_key_no = 'DELETE', upd_date= CONVERT(CHAR(8),GETDATE(),112)+REPLACE(CONVERT(CHAR(8),GETDATE(),108),':','') , SITE_TYPE='TBD' where page_id =   (select page_id from tapage where file_name = 'workPmiList')   and button_id =   (select button_id from tabutton where button_no = 'DELETE')      and button_loc = 'LIST' ; </v>
      </c>
      <c r="BG5" t="s">
        <v>33</v>
      </c>
    </row>
    <row r="6" spans="1:59" x14ac:dyDescent="0.3">
      <c r="A6" s="14">
        <v>5</v>
      </c>
      <c r="B6" s="14" t="s">
        <v>36</v>
      </c>
      <c r="C6" s="16" t="s">
        <v>42</v>
      </c>
      <c r="D6" s="16" t="s">
        <v>43</v>
      </c>
      <c r="E6" s="16" t="s">
        <v>1</v>
      </c>
      <c r="F6" s="16" t="s">
        <v>54</v>
      </c>
      <c r="G6" s="16" t="s">
        <v>3</v>
      </c>
      <c r="H6" s="16" t="s">
        <v>3</v>
      </c>
      <c r="I6" s="15"/>
      <c r="J6" s="16" t="s">
        <v>302</v>
      </c>
      <c r="K6" s="16" t="s">
        <v>38</v>
      </c>
      <c r="L6" s="16" t="s">
        <v>44</v>
      </c>
      <c r="M6" s="15"/>
      <c r="N6" s="16" t="s">
        <v>47</v>
      </c>
      <c r="O6" s="16" t="s">
        <v>54</v>
      </c>
      <c r="P6" s="16" t="s">
        <v>2</v>
      </c>
      <c r="Q6" s="16" t="s">
        <v>39</v>
      </c>
      <c r="R6" s="17" t="s">
        <v>40</v>
      </c>
      <c r="T6" s="15" t="str">
        <f t="shared" si="3"/>
        <v xml:space="preserve">insert into tabutton(button_id, button_no, description, is_use, ord_no,service_type, site_type, version_info, cre_date, upd_date) values(sqabutton_id.nextval,'EXCEL','Excel','Y','130','WEB','DREAM','2.00',to_char(sysdate,'yyyymmddhh24miss'),to_char(sysdate,'yyyymmddhh24miss')); </v>
      </c>
      <c r="U6" s="15" t="str">
        <f t="shared" si="4"/>
        <v xml:space="preserve">update tabutton set description='Excel', is_use='Y', ord_no='130',service_type='WEB', site_type='DREAM',version_info='2.00',upd_date=to_char(sysdate,'yyyymmddhh24miss') where button_no = 'EXCEL' ; </v>
      </c>
      <c r="V6" t="s">
        <v>33</v>
      </c>
      <c r="W6" s="15" t="str">
        <f t="shared" si="5"/>
        <v xml:space="preserve">insert into tabutton(button_id, button_no, description, is_use, ord_no,service_type, site_type, version_info, cre_date, upd_date) values(next value for sqabutton_id,'EXCEL','Excel','Y','130','WEB','DREAM','2.00',CONVERT(CHAR(8),GETDATE(),112)+REPLACE(CONVERT(CHAR(8),GETDATE(),108),':',''),CONVERT(CHAR(8),GETDATE(),112)+REPLACE(CONVERT(CHAR(8),GETDATE(),108),':','')); </v>
      </c>
      <c r="X6" s="15" t="str">
        <f t="shared" si="6"/>
        <v xml:space="preserve">update tabutton set description='Excel', is_use='Y', ord_no='130',service_type='WEB', site_type='DREAM',version_info='2.00',upd_date=CONVERT(CHAR(8),GETDATE(),112)+REPLACE(CONVERT(CHAR(8),GETDATE(),108),':','') where button_no = 'EXCEL' ; </v>
      </c>
      <c r="Y6" t="s">
        <v>33</v>
      </c>
      <c r="Z6" s="15" t="str">
        <f t="shared" si="7"/>
        <v xml:space="preserve">  (select page_id from tapage where file_name = 'workPmiList') </v>
      </c>
      <c r="AA6" s="15" t="str">
        <f t="shared" si="8"/>
        <v xml:space="preserve">  (select button_id from tabutton where button_no = 'EXCEL') </v>
      </c>
      <c r="AB6" s="15" t="str">
        <f t="shared" si="9"/>
        <v>INSERT INTO TAPGBTN (pgbtn_id, page_id, button_id, button_loc, ord_no, is_use, is_chkauth, is_basic, is_set_group, key_no, key_type, file_name, button_no, site_type, version_info, basic_key_type, basic_key_no, cre_date, upd_date)</v>
      </c>
      <c r="AC6" t="s">
        <v>33</v>
      </c>
      <c r="AD6" s="15" t="str">
        <f t="shared" si="10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'EXCEL') , 'LIST', '130', 'Y', 'N', 'Y', 'N', 'EXCEL', 'BUTTON', 'workPmiList', 'EXCEL', 'DREAM', '2.00', 'BUTTON', 'EXCEL',  to_char(sysdate,'yyyymmddhh24miss'),  to_char(sysdate,'yyyymmddhh24miss'));</v>
      </c>
      <c r="AE6" s="15" t="str">
        <f t="shared" si="11"/>
        <v xml:space="preserve"> update TAPGBTN set remark = 'Excel', ord_no = '130' ,is_use = 'Y' ,is_chkauth = 'N' ,key_type = 'BUTTON',key_no = 'EXCEL', file_name = 'workPmiList', button_no = 'EXCEL'  ,version_info = '2.00',basic_key_type = 'BUTTON', basic_key_no = 'EXCEL', upd_date= to_char(sysdate,'yyyymmddhh24miss') , SITE_TYPE='DREAM' where page_id =   (select page_id from tapage where file_name = 'workPmiList')   and button_id =   (select button_id from tabutton where button_no = 'EXCEL')      and button_loc = 'LIST' ; </v>
      </c>
      <c r="AF6" s="15" t="str">
        <f t="shared" si="12"/>
        <v xml:space="preserve"> insert into talang(lang_id, lang, key_type, key_no, key_name, upd_date,is_comm_js_use, use_web, use_android, cre_date, site_type, version_info, basic_key_name) values(sqalang_id.nextval, 'ko','BUTTON','EXCEL','Excel',to_char(sysdate,'yyyymmddhh24miss'),'N','Y','N',to_char(sysdate,'yyyymmddhh24miss'),'DREAM','2.00','Excel'); </v>
      </c>
      <c r="AG6" s="15" t="str">
        <f t="shared" si="13"/>
        <v xml:space="preserve">update talang set key_name = 'Excel', basic_key_name = 'Excel',site_type = 'DREAM', version_info = '2.00',  upd_date = to_char(sysdate,'yyyymmddhh24miss')  where lang = 'ko' and key_type =  'BUTTON' and key_no =  'EXCEL' ; </v>
      </c>
      <c r="AH6" s="15" t="str">
        <f t="shared" si="14"/>
        <v xml:space="preserve"> insert into talang(lang_id, lang, key_type, key_no, key_name, upd_date,is_comm_js_use, use_web, use_android, cre_date, site_type, version_info, basic_key_name) values(sqalang_id.nextval, 'en','BUTTON','EXCEL','Excel',to_char(sysdate,'yyyymmddhh24miss'),'N','Y','N',to_char(sysdate,'yyyymmddhh24miss'),'DREAM','2.00','Excel'); </v>
      </c>
      <c r="AI6" s="15" t="str">
        <f t="shared" si="15"/>
        <v xml:space="preserve">update talang set key_name = 'Excel', basic_key_name = 'Excel',site_type = 'DREAM', version_info = '2.00',  upd_date = to_char(sysdate,'yyyymmddhh24miss')  where lang = 'en' and key_type =  'BUTTON' and key_no =  'EXCEL' ; </v>
      </c>
      <c r="AJ6" s="15" t="str">
        <f t="shared" si="16"/>
        <v xml:space="preserve"> insert into talang(lang_id, lang, key_type, key_no, key_name, upd_date,is_comm_js_use, use_web, use_android, cre_date, site_type, version_info, basic_key_name) values(sqalang_id.nextval, 'cn','','EXCEL','Excel',to_char(sysdate,'yyyymmddhh24miss'),'N','Y','N',to_char(sysdate,'yyyymmddhh24miss'),'DREAM','2.00',''); </v>
      </c>
      <c r="AK6" s="15" t="str">
        <f t="shared" si="17"/>
        <v xml:space="preserve">update talang set key_name = '', basic_key_name = '',site_type = 'DREAM', version_info = '2.00',  upd_date = to_char(sysdate,'yyyymmddhh24miss')  where lang = 'cn' and key_type =  'BUTTON' and key_no =  'EXCEL' ; </v>
      </c>
      <c r="AL6" t="s">
        <v>33</v>
      </c>
      <c r="AM6" s="15" t="str">
        <f t="shared" si="18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'EXCEL') , 'LIST', '130', 'Y', 'N', 'Y', 'N', 'EXCEL', 'BUTTON', 'workPmiList', 'EXCEL', 'DREAM', '2.00', 'BUTTON', 'EXCEL',  CONVERT(CHAR(8),GETDATE(),112)+REPLACE(CONVERT(CHAR(8),GETDATE(),108),':',''),  CONVERT(CHAR(8),GETDATE(),112)+REPLACE(CONVERT(CHAR(8),GETDATE(),108),':',''));</v>
      </c>
      <c r="AN6" s="15" t="str">
        <f t="shared" si="19"/>
        <v xml:space="preserve"> update TAPGBTN set remark = 'Excel', ord_no = '130' ,is_use = 'Y' ,is_chkauth = 'N' ,key_type = 'BUTTON',key_no = 'EXCEL', file_name = 'workPmiList', button_no = 'EXCEL'  ,version_info = '2.00',basic_key_type = 'BUTTON', basic_key_no = 'EXCEL', upd_date= CONVERT(CHAR(8),GETDATE(),112)+REPLACE(CONVERT(CHAR(8),GETDATE(),108),':','') , SITE_TYPE='DREAM' where page_id =   (select page_id from tapage where file_name = 'workPmiList')   and button_id =   (select button_id from tabutton where button_no = 'EXCEL')      and button_loc = 'LIST' ; </v>
      </c>
      <c r="AO6" s="15" t="str">
        <f t="shared" si="20"/>
        <v xml:space="preserve"> insert into talang(lang_id, lang, key_type, key_no, key_name, upd_date,is_comm_js_use, use_web, use_android, cre_date, site_type, version_info, basic_key_name) values(next value for sqalang_id, 'ko','BUTTON','EXCEL','Excel',CONVERT(CHAR(8),GETDATE(),112)+REPLACE(CONVERT(CHAR(8),GETDATE(),108),':',''),'N','Y','N',CONVERT(CHAR(8),GETDATE(),112)+REPLACE(CONVERT(CHAR(8),GETDATE(),108),':',''),'DREAM','2.00','Excel'); </v>
      </c>
      <c r="AP6" s="15" t="str">
        <f t="shared" si="21"/>
        <v xml:space="preserve">update talang set key_name = 'Excel', basic_key_name = 'Excel',site_type = 'DREAM', version_info = '2.00',  upd_date = CONVERT(CHAR(8),GETDATE(),112)+REPLACE(CONVERT(CHAR(8),GETDATE(),108),':','')  where lang = 'ko' and key_type =  'BUTTON' and key_no =  'EXCEL' ; </v>
      </c>
      <c r="AQ6" s="15" t="str">
        <f t="shared" si="22"/>
        <v xml:space="preserve"> insert into talang(lang_id, lang, key_type, key_no, key_name, upd_date,is_comm_js_use, use_web, use_android, cre_date, site_type, version_info, basic_key_name) values(next value for sqalang_id, 'en','BUTTON','EXCEL','Excel',CONVERT(CHAR(8),GETDATE(),112)+REPLACE(CONVERT(CHAR(8),GETDATE(),108),':',''),'N','Y','N',CONVERT(CHAR(8),GETDATE(),112)+REPLACE(CONVERT(CHAR(8),GETDATE(),108),':',''),'DREAM','2.00','Excel'); </v>
      </c>
      <c r="AR6" s="15" t="str">
        <f t="shared" si="23"/>
        <v xml:space="preserve">update talang set key_name = 'Excel', basic_key_name = 'Excel',site_type = 'DREAM', version_info = '2.00',  upd_date = CONVERT(CHAR(8),GETDATE(),112)+REPLACE(CONVERT(CHAR(8),GETDATE(),108),':','')  where lang = 'en' and key_type =  'BUTTON' and key_no =  'EXCEL' ; </v>
      </c>
      <c r="AS6" s="15" t="str">
        <f t="shared" si="24"/>
        <v xml:space="preserve"> insert into talang(lang_id, lang, key_type, key_no, key_name, upd_date,is_comm_js_use, use_web, use_android, cre_date, site_type, version_info, basic_key_name) values(next value for sqalang_id, 'cn','BUTTON','EXCEL','',CONVERT(CHAR(8),GETDATE(),112)+REPLACE(CONVERT(CHAR(8),GETDATE(),108),':',''),'N','Y','N',CONVERT(CHAR(8),GETDATE(),112)+REPLACE(CONVERT(CHAR(8),GETDATE(),108),':',''),'DREAM','2.00',''); </v>
      </c>
      <c r="AT6" s="15" t="str">
        <f t="shared" si="25"/>
        <v xml:space="preserve">update talang set key_name = '', basic_key_name = '',site_type = 'DREAM', version_info = '2.00',  upd_date = CONVERT(CHAR(8),GETDATE(),112)+REPLACE(CONVERT(CHAR(8),GETDATE(),108),':','')  where lang = 'cn' and key_type =  'BUTTON' and key_no =  'EXCEL' ; </v>
      </c>
      <c r="AU6" t="s">
        <v>33</v>
      </c>
      <c r="AV6" s="15" t="str">
        <f t="shared" si="26"/>
        <v xml:space="preserve">insert into tabutton(button_id, button_no, description, is_use, ord_no,service_type, site_type, version_info, cre_date, upd_date) values(sqabutton_id.nextval,'EXCEL','Excel','N','130','WEB','DREAM','2.00',to_char(sysdate,'yyyymmddhh24miss'),to_char(sysdate,'yyyymmddhh24miss')); </v>
      </c>
      <c r="AW6" s="15" t="str">
        <f t="shared" si="27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'EXCEL') , 'LIST', '130', 'N', 'N', 'Y', 'N', 'EXCEL', 'BUTTON', 'workPmiList', 'EXCEL', 'DREAM', '2.00', 'BUTTON', 'EXCEL',  to_char(sysdate,'yyyymmddhh24miss'),  to_char(sysdate,'yyyymmddhh24miss'));</v>
      </c>
      <c r="AX6" s="14" t="str">
        <f t="shared" si="28"/>
        <v xml:space="preserve">insert into tabutton(button_id, button_no, description, is_use, ord_no,service_type, site_type, version_info, cre_date, upd_date) values(next value for sqabutton_id,'EXCEL','Excel','N','130','WEB','DREAM','2.00',CONVERT(CHAR(8),GETDATE(),112)+REPLACE(CONVERT(CHAR(8),GETDATE(),108),':',''),CONVERT(CHAR(8),GETDATE(),112)+REPLACE(CONVERT(CHAR(8),GETDATE(),108),':','')); </v>
      </c>
      <c r="AY6" s="14" t="str">
        <f t="shared" si="29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'EXCEL') , 'LIST', '130', 'N', 'N', 'Y', 'N', 'EXCEL', 'BUTTON', 'workPmiList', 'EXCEL', 'DREAM', '2.00', 'BUTTON', 'EXCEL',  CONVERT(CHAR(8),GETDATE(),112)+REPLACE(CONVERT(CHAR(8),GETDATE(),108),':',''),  CONVERT(CHAR(8),GETDATE(),112)+REPLACE(CONVERT(CHAR(8),GETDATE(),108),':',''));</v>
      </c>
      <c r="AZ6" t="s">
        <v>33</v>
      </c>
      <c r="BA6" s="14" t="str">
        <f t="shared" si="30"/>
        <v xml:space="preserve">insert into tabutton(button_id, button_no, description, is_use, ord_no,service_type, site_type, version_info, cre_date, upd_date) values(sqabutton_id.nextval,'EXCEL','Excel','Y','130','WEB','DREAM','2.00',to_char(sysdate,'yyyymmddhh24miss'),to_char(sysdate,'yyyymmddhh24miss')); </v>
      </c>
      <c r="BB6" s="14" t="str">
        <f t="shared" si="31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'EXCEL') , 'LIST', '130', 'Y', 'N', 'Y', 'N', 'EXCEL', 'BUTTON', 'workPmiList', 'EXCEL', 'DREAM', '2.00', 'BUTTON', 'EXCEL',  to_char(sysdate,'yyyymmddhh24miss'),  to_char(sysdate,'yyyymmddhh24miss'));</v>
      </c>
      <c r="BC6" s="14" t="str">
        <f t="shared" si="32"/>
        <v xml:space="preserve"> update TAPGBTN set remark = 'Excel', ord_no = '130' ,is_use = 'Y' ,is_chkauth = 'N' ,key_type = 'BUTTON',key_no = 'EXCEL', file_name = 'workPmiList', button_no = 'EXCEL'  ,version_info = '2.00',basic_key_type = 'BUTTON', basic_key_no = 'EXCEL', upd_date= to_char(sysdate,'yyyymmddhh24miss') , SITE_TYPE='DREAM' where page_id =   (select page_id from tapage where file_name = 'workPmiList')   and button_id =   (select button_id from tabutton where button_no = 'EXCEL')      and button_loc = 'LIST' ; </v>
      </c>
      <c r="BD6" s="14" t="str">
        <f t="shared" si="33"/>
        <v xml:space="preserve">insert into tabutton(button_id, button_no, description, is_use, ord_no,service_type, site_type, version_info, cre_date, upd_date) values(next value for sqabutton_id,'EXCEL','Excel','Y','130','WEB','DREAM','2.00',CONVERT(CHAR(8),GETDATE(),112)+REPLACE(CONVERT(CHAR(8),GETDATE(),108),':',''),CONVERT(CHAR(8),GETDATE(),112)+REPLACE(CONVERT(CHAR(8),GETDATE(),108),':','')); </v>
      </c>
      <c r="BE6" s="14" t="str">
        <f t="shared" si="34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'EXCEL') , 'LIST', '130', 'Y', 'N', 'Y', 'N', 'EXCEL', 'BUTTON', 'workPmiList', 'EXCEL', 'DREAM', '2.00', 'BUTTON', 'EXCEL',  CONVERT(CHAR(8),GETDATE(),112)+REPLACE(CONVERT(CHAR(8),GETDATE(),108),':',''),  CONVERT(CHAR(8),GETDATE(),112)+REPLACE(CONVERT(CHAR(8),GETDATE(),108),':',''));</v>
      </c>
      <c r="BF6" s="13" t="str">
        <f t="shared" si="35"/>
        <v xml:space="preserve"> update TAPGBTN set remark = 'Excel', ord_no = '130' ,is_use = 'Y' ,is_chkauth = 'N' ,key_type = 'BUTTON',key_no = 'EXCEL', file_name = 'workPmiList', button_no = 'EXCEL'  ,version_info = '2.00',basic_key_type = 'BUTTON', basic_key_no = 'EXCEL', upd_date= CONVERT(CHAR(8),GETDATE(),112)+REPLACE(CONVERT(CHAR(8),GETDATE(),108),':','') , SITE_TYPE='DREAM' where page_id =   (select page_id from tapage where file_name = 'workPmiList')   and button_id =   (select button_id from tabutton where button_no = 'EXCEL')      and button_loc = 'LIST' ; </v>
      </c>
      <c r="BG6" t="s">
        <v>33</v>
      </c>
    </row>
    <row r="7" spans="1:59" x14ac:dyDescent="0.3">
      <c r="A7" s="15">
        <v>6</v>
      </c>
      <c r="B7" s="14" t="s">
        <v>36</v>
      </c>
      <c r="C7" s="16" t="s">
        <v>42</v>
      </c>
      <c r="D7" s="16" t="s">
        <v>43</v>
      </c>
      <c r="E7" s="16" t="s">
        <v>1</v>
      </c>
      <c r="F7" s="16" t="s">
        <v>49</v>
      </c>
      <c r="G7" s="16" t="s">
        <v>0</v>
      </c>
      <c r="H7" s="16" t="s">
        <v>0</v>
      </c>
      <c r="I7" s="15"/>
      <c r="J7" s="16" t="s">
        <v>303</v>
      </c>
      <c r="K7" s="16" t="s">
        <v>38</v>
      </c>
      <c r="L7" s="16" t="s">
        <v>44</v>
      </c>
      <c r="M7" s="15"/>
      <c r="N7" s="16" t="s">
        <v>47</v>
      </c>
      <c r="O7" s="16" t="s">
        <v>49</v>
      </c>
      <c r="P7" s="16" t="s">
        <v>2</v>
      </c>
      <c r="Q7" s="16" t="s">
        <v>39</v>
      </c>
      <c r="R7" s="17" t="s">
        <v>40</v>
      </c>
      <c r="T7" s="15" t="str">
        <f t="shared" si="3"/>
        <v xml:space="preserve">insert into tabutton(button_id, button_no, description, is_use, ord_no,service_type, site_type, version_info, cre_date, upd_date) values(sqabutton_id.nextval,'SETTING','Setting','Y','140','WEB','DREAM','2.00',to_char(sysdate,'yyyymmddhh24miss'),to_char(sysdate,'yyyymmddhh24miss')); </v>
      </c>
      <c r="U7" s="15" t="str">
        <f t="shared" si="4"/>
        <v xml:space="preserve">update tabutton set description='Setting', is_use='Y', ord_no='140',service_type='WEB', site_type='DREAM',version_info='2.00',upd_date=to_char(sysdate,'yyyymmddhh24miss') where button_no = 'SETTING' ; </v>
      </c>
      <c r="V7" t="s">
        <v>33</v>
      </c>
      <c r="W7" s="15" t="str">
        <f t="shared" si="5"/>
        <v xml:space="preserve">insert into tabutton(button_id, button_no, description, is_use, ord_no,service_type, site_type, version_info, cre_date, upd_date) values(next value for sqabutton_id,'SETTING','Setting','Y','140','WEB','DREAM','2.00',CONVERT(CHAR(8),GETDATE(),112)+REPLACE(CONVERT(CHAR(8),GETDATE(),108),':',''),CONVERT(CHAR(8),GETDATE(),112)+REPLACE(CONVERT(CHAR(8),GETDATE(),108),':','')); </v>
      </c>
      <c r="X7" s="15" t="str">
        <f t="shared" si="6"/>
        <v xml:space="preserve">update tabutton set description='Setting', is_use='Y', ord_no='140',service_type='WEB', site_type='DREAM',version_info='2.00',upd_date=CONVERT(CHAR(8),GETDATE(),112)+REPLACE(CONVERT(CHAR(8),GETDATE(),108),':','') where button_no = 'SETTING' ; </v>
      </c>
      <c r="Y7" t="s">
        <v>33</v>
      </c>
      <c r="Z7" s="15" t="str">
        <f t="shared" si="7"/>
        <v xml:space="preserve">  (select page_id from tapage where file_name = 'workPmiList') </v>
      </c>
      <c r="AA7" s="15" t="str">
        <f t="shared" si="8"/>
        <v xml:space="preserve">  (select button_id from tabutton where button_no = 'SETTING') </v>
      </c>
      <c r="AB7" s="15" t="str">
        <f t="shared" si="9"/>
        <v>INSERT INTO TAPGBTN (pgbtn_id, page_id, button_id, button_loc, ord_no, is_use, is_chkauth, is_basic, is_set_group, key_no, key_type, file_name, button_no, site_type, version_info, basic_key_type, basic_key_no, cre_date, upd_date)</v>
      </c>
      <c r="AC7" t="s">
        <v>33</v>
      </c>
      <c r="AD7" s="15" t="str">
        <f t="shared" si="10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'SETTING') , 'LIST', '140', 'Y', 'N', 'Y', 'N', 'SETTING', 'BUTTON', 'workPmiList', 'SETTING', 'DREAM', '2.00', 'BUTTON', 'SETTING',  to_char(sysdate,'yyyymmddhh24miss'),  to_char(sysdate,'yyyymmddhh24miss'));</v>
      </c>
      <c r="AE7" s="15" t="str">
        <f t="shared" si="11"/>
        <v xml:space="preserve"> update TAPGBTN set remark = 'Setting', ord_no = '140' ,is_use = 'Y' ,is_chkauth = 'N' ,key_type = 'BUTTON',key_no = 'SETTING', file_name = 'workPmiList', button_no = 'SETTING'  ,version_info = '2.00',basic_key_type = 'BUTTON', basic_key_no = 'SETTING', upd_date= to_char(sysdate,'yyyymmddhh24miss') , SITE_TYPE='DREAM' where page_id =   (select page_id from tapage where file_name = 'workPmiList')   and button_id =   (select button_id from tabutton where button_no = 'SETTING')      and button_loc = 'LIST' ; </v>
      </c>
      <c r="AF7" s="15" t="str">
        <f t="shared" si="12"/>
        <v xml:space="preserve"> insert into talang(lang_id, lang, key_type, key_no, key_name, upd_date,is_comm_js_use, use_web, use_android, cre_date, site_type, version_info, basic_key_name) values(sqalang_id.nextval, 'ko','BUTTON','SETTING','Setting',to_char(sysdate,'yyyymmddhh24miss'),'N','Y','N',to_char(sysdate,'yyyymmddhh24miss'),'DREAM','2.00','Setting'); </v>
      </c>
      <c r="AG7" s="15" t="str">
        <f t="shared" si="13"/>
        <v xml:space="preserve">update talang set key_name = 'Setting', basic_key_name = 'Setting',site_type = 'DREAM', version_info = '2.00',  upd_date = to_char(sysdate,'yyyymmddhh24miss')  where lang = 'ko' and key_type =  'BUTTON' and key_no =  'SETTING' ; </v>
      </c>
      <c r="AH7" s="15" t="str">
        <f t="shared" si="14"/>
        <v xml:space="preserve"> insert into talang(lang_id, lang, key_type, key_no, key_name, upd_date,is_comm_js_use, use_web, use_android, cre_date, site_type, version_info, basic_key_name) values(sqalang_id.nextval, 'en','BUTTON','SETTING','Setting',to_char(sysdate,'yyyymmddhh24miss'),'N','Y','N',to_char(sysdate,'yyyymmddhh24miss'),'DREAM','2.00','Setting'); </v>
      </c>
      <c r="AI7" s="15" t="str">
        <f t="shared" si="15"/>
        <v xml:space="preserve">update talang set key_name = 'Setting', basic_key_name = 'Setting',site_type = 'DREAM', version_info = '2.00',  upd_date = to_char(sysdate,'yyyymmddhh24miss')  where lang = 'en' and key_type =  'BUTTON' and key_no =  'SETTING' ; </v>
      </c>
      <c r="AJ7" s="15" t="str">
        <f t="shared" si="16"/>
        <v xml:space="preserve"> insert into talang(lang_id, lang, key_type, key_no, key_name, upd_date,is_comm_js_use, use_web, use_android, cre_date, site_type, version_info, basic_key_name) values(sqalang_id.nextval, 'cn','','SETTING','Setting',to_char(sysdate,'yyyymmddhh24miss'),'N','Y','N',to_char(sysdate,'yyyymmddhh24miss'),'DREAM','2.00',''); </v>
      </c>
      <c r="AK7" s="15" t="str">
        <f t="shared" si="17"/>
        <v xml:space="preserve">update talang set key_name = '', basic_key_name = '',site_type = 'DREAM', version_info = '2.00',  upd_date = to_char(sysdate,'yyyymmddhh24miss')  where lang = 'cn' and key_type =  'BUTTON' and key_no =  'SETTING' ; </v>
      </c>
      <c r="AL7" t="s">
        <v>33</v>
      </c>
      <c r="AM7" s="15" t="str">
        <f t="shared" si="18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'SETTING') , 'LIST', '140', 'Y', 'N', 'Y', 'N', 'SETTING', 'BUTTON', 'workPmiList', 'SETTING', 'DREAM', '2.00', 'BUTTON', 'SETTING',  CONVERT(CHAR(8),GETDATE(),112)+REPLACE(CONVERT(CHAR(8),GETDATE(),108),':',''),  CONVERT(CHAR(8),GETDATE(),112)+REPLACE(CONVERT(CHAR(8),GETDATE(),108),':',''));</v>
      </c>
      <c r="AN7" s="15" t="str">
        <f t="shared" si="19"/>
        <v xml:space="preserve"> update TAPGBTN set remark = 'Setting', ord_no = '140' ,is_use = 'Y' ,is_chkauth = 'N' ,key_type = 'BUTTON',key_no = 'SETTING', file_name = 'workPmiList', button_no = 'SETTING'  ,version_info = '2.00',basic_key_type = 'BUTTON', basic_key_no = 'SETTING', upd_date= CONVERT(CHAR(8),GETDATE(),112)+REPLACE(CONVERT(CHAR(8),GETDATE(),108),':','') , SITE_TYPE='DREAM' where page_id =   (select page_id from tapage where file_name = 'workPmiList')   and button_id =   (select button_id from tabutton where button_no = 'SETTING')      and button_loc = 'LIST' ; </v>
      </c>
      <c r="AO7" s="15" t="str">
        <f t="shared" si="20"/>
        <v xml:space="preserve"> insert into talang(lang_id, lang, key_type, key_no, key_name, upd_date,is_comm_js_use, use_web, use_android, cre_date, site_type, version_info, basic_key_name) values(next value for sqalang_id, 'ko','BUTTON','SETTING','Setting',CONVERT(CHAR(8),GETDATE(),112)+REPLACE(CONVERT(CHAR(8),GETDATE(),108),':',''),'N','Y','N',CONVERT(CHAR(8),GETDATE(),112)+REPLACE(CONVERT(CHAR(8),GETDATE(),108),':',''),'DREAM','2.00','Setting'); </v>
      </c>
      <c r="AP7" s="15" t="str">
        <f t="shared" si="21"/>
        <v xml:space="preserve">update talang set key_name = 'Setting', basic_key_name = 'Setting',site_type = 'DREAM', version_info = '2.00',  upd_date = CONVERT(CHAR(8),GETDATE(),112)+REPLACE(CONVERT(CHAR(8),GETDATE(),108),':','')  where lang = 'ko' and key_type =  'BUTTON' and key_no =  'SETTING' ; </v>
      </c>
      <c r="AQ7" s="15" t="str">
        <f t="shared" si="22"/>
        <v xml:space="preserve"> insert into talang(lang_id, lang, key_type, key_no, key_name, upd_date,is_comm_js_use, use_web, use_android, cre_date, site_type, version_info, basic_key_name) values(next value for sqalang_id, 'en','BUTTON','SETTING','Setting',CONVERT(CHAR(8),GETDATE(),112)+REPLACE(CONVERT(CHAR(8),GETDATE(),108),':',''),'N','Y','N',CONVERT(CHAR(8),GETDATE(),112)+REPLACE(CONVERT(CHAR(8),GETDATE(),108),':',''),'DREAM','2.00','Setting'); </v>
      </c>
      <c r="AR7" s="15" t="str">
        <f t="shared" si="23"/>
        <v xml:space="preserve">update talang set key_name = 'Setting', basic_key_name = 'Setting',site_type = 'DREAM', version_info = '2.00',  upd_date = CONVERT(CHAR(8),GETDATE(),112)+REPLACE(CONVERT(CHAR(8),GETDATE(),108),':','')  where lang = 'en' and key_type =  'BUTTON' and key_no =  'SETTING' ; </v>
      </c>
      <c r="AS7" s="15" t="str">
        <f t="shared" si="24"/>
        <v xml:space="preserve"> insert into talang(lang_id, lang, key_type, key_no, key_name, upd_date,is_comm_js_use, use_web, use_android, cre_date, site_type, version_info, basic_key_name) values(next value for sqalang_id, 'cn','BUTTON','SETTING','',CONVERT(CHAR(8),GETDATE(),112)+REPLACE(CONVERT(CHAR(8),GETDATE(),108),':',''),'N','Y','N',CONVERT(CHAR(8),GETDATE(),112)+REPLACE(CONVERT(CHAR(8),GETDATE(),108),':',''),'DREAM','2.00',''); </v>
      </c>
      <c r="AT7" s="15" t="str">
        <f t="shared" si="25"/>
        <v xml:space="preserve">update talang set key_name = '', basic_key_name = '',site_type = 'DREAM', version_info = '2.00',  upd_date = CONVERT(CHAR(8),GETDATE(),112)+REPLACE(CONVERT(CHAR(8),GETDATE(),108),':','')  where lang = 'cn' and key_type =  'BUTTON' and key_no =  'SETTING' ; </v>
      </c>
      <c r="AU7" t="s">
        <v>33</v>
      </c>
      <c r="AV7" s="15" t="str">
        <f t="shared" si="26"/>
        <v xml:space="preserve">insert into tabutton(button_id, button_no, description, is_use, ord_no,service_type, site_type, version_info, cre_date, upd_date) values(sqabutton_id.nextval,'SETTING','Setting','N','140','WEB','DREAM','2.00',to_char(sysdate,'yyyymmddhh24miss'),to_char(sysdate,'yyyymmddhh24miss')); </v>
      </c>
      <c r="AW7" s="15" t="str">
        <f t="shared" si="27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'SETTING') , 'LIST', '140', 'N', 'N', 'Y', 'N', 'SETTING', 'BUTTON', 'workPmiList', 'SETTING', 'DREAM', '2.00', 'BUTTON', 'SETTING',  to_char(sysdate,'yyyymmddhh24miss'),  to_char(sysdate,'yyyymmddhh24miss'));</v>
      </c>
      <c r="AX7" s="14" t="str">
        <f t="shared" si="28"/>
        <v xml:space="preserve">insert into tabutton(button_id, button_no, description, is_use, ord_no,service_type, site_type, version_info, cre_date, upd_date) values(next value for sqabutton_id,'SETTING','Setting','N','140','WEB','DREAM','2.00',CONVERT(CHAR(8),GETDATE(),112)+REPLACE(CONVERT(CHAR(8),GETDATE(),108),':',''),CONVERT(CHAR(8),GETDATE(),112)+REPLACE(CONVERT(CHAR(8),GETDATE(),108),':','')); </v>
      </c>
      <c r="AY7" s="14" t="str">
        <f t="shared" si="29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'SETTING') , 'LIST', '140', 'N', 'N', 'Y', 'N', 'SETTING', 'BUTTON', 'workPmiList', 'SETTING', 'DREAM', '2.00', 'BUTTON', 'SETTING',  CONVERT(CHAR(8),GETDATE(),112)+REPLACE(CONVERT(CHAR(8),GETDATE(),108),':',''),  CONVERT(CHAR(8),GETDATE(),112)+REPLACE(CONVERT(CHAR(8),GETDATE(),108),':',''));</v>
      </c>
      <c r="AZ7" t="s">
        <v>33</v>
      </c>
      <c r="BA7" s="14" t="str">
        <f t="shared" si="30"/>
        <v xml:space="preserve">insert into tabutton(button_id, button_no, description, is_use, ord_no,service_type, site_type, version_info, cre_date, upd_date) values(sqabutton_id.nextval,'SETTING','Setting','Y','140','WEB','DREAM','2.00',to_char(sysdate,'yyyymmddhh24miss'),to_char(sysdate,'yyyymmddhh24miss')); </v>
      </c>
      <c r="BB7" s="14" t="str">
        <f t="shared" si="31"/>
        <v>INSERT INTO TAPGBTN (pgbtn_id, page_id, button_id, button_loc, ord_no, is_use, is_chkauth, is_basic, is_set_group, key_no, key_type, file_name, button_no, site_type, version_info, basic_key_type, basic_key_no, cre_date, upd_date) VALUES (sqapgbtn_id.NEXTVAL,   (select page_id from tapage where file_name = 'workPmiList') ,   (select button_id from tabutton where button_no = 'SETTING') , 'LIST', '140', 'Y', 'N', 'Y', 'N', 'SETTING', 'BUTTON', 'workPmiList', 'SETTING', 'DREAM', '2.00', 'BUTTON', 'SETTING',  to_char(sysdate,'yyyymmddhh24miss'),  to_char(sysdate,'yyyymmddhh24miss'));</v>
      </c>
      <c r="BC7" s="14" t="str">
        <f t="shared" si="32"/>
        <v xml:space="preserve"> update TAPGBTN set remark = 'Setting', ord_no = '140' ,is_use = 'Y' ,is_chkauth = 'N' ,key_type = 'BUTTON',key_no = 'SETTING', file_name = 'workPmiList', button_no = 'SETTING'  ,version_info = '2.00',basic_key_type = 'BUTTON', basic_key_no = 'SETTING', upd_date= to_char(sysdate,'yyyymmddhh24miss') , SITE_TYPE='DREAM' where page_id =   (select page_id from tapage where file_name = 'workPmiList')   and button_id =   (select button_id from tabutton where button_no = 'SETTING')      and button_loc = 'LIST' ; </v>
      </c>
      <c r="BD7" s="14" t="str">
        <f t="shared" si="33"/>
        <v xml:space="preserve">insert into tabutton(button_id, button_no, description, is_use, ord_no,service_type, site_type, version_info, cre_date, upd_date) values(next value for sqabutton_id,'SETTING','Setting','Y','140','WEB','DREAM','2.00',CONVERT(CHAR(8),GETDATE(),112)+REPLACE(CONVERT(CHAR(8),GETDATE(),108),':',''),CONVERT(CHAR(8),GETDATE(),112)+REPLACE(CONVERT(CHAR(8),GETDATE(),108),':','')); </v>
      </c>
      <c r="BE7" s="14" t="str">
        <f t="shared" si="34"/>
        <v>INSERT INTO TAPGBTN (pgbtn_id, page_id, button_id, button_loc, ord_no, is_use, is_chkauth, is_basic, is_set_group, key_no, key_type, file_name, button_no, site_type, version_info, basic_key_type, basic_key_no, cre_date, upd_date) VALUES (next value for sqapgbtn_id,   (select page_id from tapage where file_name = 'workPmiList') ,   (select button_id from tabutton where button_no = 'SETTING') , 'LIST', '140', 'Y', 'N', 'Y', 'N', 'SETTING', 'BUTTON', 'workPmiList', 'SETTING', 'DREAM', '2.00', 'BUTTON', 'SETTING',  CONVERT(CHAR(8),GETDATE(),112)+REPLACE(CONVERT(CHAR(8),GETDATE(),108),':',''),  CONVERT(CHAR(8),GETDATE(),112)+REPLACE(CONVERT(CHAR(8),GETDATE(),108),':',''));</v>
      </c>
      <c r="BF7" s="13" t="str">
        <f t="shared" si="35"/>
        <v xml:space="preserve"> update TAPGBTN set remark = 'Setting', ord_no = '140' ,is_use = 'Y' ,is_chkauth = 'N' ,key_type = 'BUTTON',key_no = 'SETTING', file_name = 'workPmiList', button_no = 'SETTING'  ,version_info = '2.00',basic_key_type = 'BUTTON', basic_key_no = 'SETTING', upd_date= CONVERT(CHAR(8),GETDATE(),112)+REPLACE(CONVERT(CHAR(8),GETDATE(),108),':','') , SITE_TYPE='DREAM' where page_id =   (select page_id from tapage where file_name = 'workPmiList')   and button_id =   (select button_id from tabutton where button_no = 'SETTING')      and button_loc = 'LIST' ; </v>
      </c>
      <c r="BG7" t="s">
        <v>33</v>
      </c>
    </row>
  </sheetData>
  <autoFilter ref="A1:AW1" xr:uid="{00000000-0009-0000-0000-000003000000}">
    <sortState xmlns:xlrd2="http://schemas.microsoft.com/office/spreadsheetml/2017/richdata2" ref="A2:AW7">
      <sortCondition ref="A1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1"/>
  <sheetViews>
    <sheetView tabSelected="1" zoomScale="85" zoomScaleNormal="85" workbookViewId="0">
      <pane xSplit="5" ySplit="1" topLeftCell="N2" activePane="bottomRight" state="frozen"/>
      <selection pane="topRight" activeCell="F1" sqref="F1"/>
      <selection pane="bottomLeft" activeCell="A2" sqref="A2"/>
      <selection pane="bottomRight" activeCell="P8" sqref="P8"/>
    </sheetView>
  </sheetViews>
  <sheetFormatPr defaultRowHeight="16.5" x14ac:dyDescent="0.3"/>
  <cols>
    <col min="3" max="3" width="19.375" bestFit="1" customWidth="1"/>
    <col min="4" max="4" width="45.375" customWidth="1"/>
    <col min="5" max="5" width="13" bestFit="1" customWidth="1"/>
    <col min="15" max="15" width="15.5" bestFit="1" customWidth="1"/>
    <col min="16" max="16" width="9.25" bestFit="1" customWidth="1"/>
  </cols>
  <sheetData>
    <row r="1" spans="1:36" ht="51.75" customHeight="1" x14ac:dyDescent="0.3">
      <c r="A1" s="37" t="s">
        <v>162</v>
      </c>
      <c r="B1" s="37" t="s">
        <v>163</v>
      </c>
      <c r="C1" s="37" t="s">
        <v>165</v>
      </c>
      <c r="D1" s="37" t="s">
        <v>225</v>
      </c>
      <c r="E1" s="38" t="s">
        <v>226</v>
      </c>
      <c r="F1" s="37" t="s">
        <v>227</v>
      </c>
      <c r="G1" s="37" t="s">
        <v>228</v>
      </c>
      <c r="H1" s="38" t="s">
        <v>229</v>
      </c>
      <c r="I1" s="37" t="s">
        <v>230</v>
      </c>
      <c r="J1" s="37" t="s">
        <v>190</v>
      </c>
      <c r="K1" s="37" t="s">
        <v>231</v>
      </c>
      <c r="L1" s="37" t="s">
        <v>207</v>
      </c>
      <c r="M1" s="37" t="s">
        <v>232</v>
      </c>
      <c r="N1" s="37" t="s">
        <v>172</v>
      </c>
      <c r="O1" s="39" t="s">
        <v>173</v>
      </c>
      <c r="P1" s="37" t="s">
        <v>34</v>
      </c>
      <c r="Q1" s="37" t="s">
        <v>175</v>
      </c>
      <c r="R1" s="37" t="s">
        <v>233</v>
      </c>
      <c r="S1" s="37" t="s">
        <v>234</v>
      </c>
      <c r="T1" s="37" t="s">
        <v>235</v>
      </c>
      <c r="U1" s="37" t="s">
        <v>236</v>
      </c>
      <c r="W1" s="32" t="s">
        <v>212</v>
      </c>
      <c r="X1" s="32" t="s">
        <v>237</v>
      </c>
      <c r="Z1" s="31" t="s">
        <v>238</v>
      </c>
      <c r="AA1" s="33" t="s">
        <v>239</v>
      </c>
      <c r="AC1" s="40" t="s">
        <v>215</v>
      </c>
      <c r="AD1" s="40" t="s">
        <v>216</v>
      </c>
      <c r="AF1" s="25" t="s">
        <v>198</v>
      </c>
      <c r="AG1" s="41" t="s">
        <v>199</v>
      </c>
      <c r="AI1" s="42" t="s">
        <v>200</v>
      </c>
      <c r="AJ1" s="41" t="s">
        <v>201</v>
      </c>
    </row>
    <row r="2" spans="1:36" s="15" customFormat="1" x14ac:dyDescent="0.3">
      <c r="A2" s="15">
        <v>1</v>
      </c>
      <c r="B2" s="14" t="s">
        <v>36</v>
      </c>
      <c r="C2" s="16" t="s">
        <v>42</v>
      </c>
      <c r="D2" s="16" t="s">
        <v>454</v>
      </c>
      <c r="E2" s="16" t="s">
        <v>93</v>
      </c>
      <c r="F2" s="16" t="s">
        <v>306</v>
      </c>
      <c r="G2" s="16" t="s">
        <v>38</v>
      </c>
      <c r="H2" s="16" t="s">
        <v>44</v>
      </c>
      <c r="I2" s="16" t="s">
        <v>44</v>
      </c>
      <c r="J2" s="16" t="s">
        <v>300</v>
      </c>
      <c r="M2" s="16" t="s">
        <v>44</v>
      </c>
      <c r="N2" s="16" t="s">
        <v>55</v>
      </c>
      <c r="O2" s="16" t="s">
        <v>94</v>
      </c>
      <c r="P2" s="16" t="s">
        <v>39</v>
      </c>
      <c r="Q2" s="17" t="s">
        <v>40</v>
      </c>
      <c r="W2" s="14" t="str">
        <f t="shared" ref="W2:W19" si="0">" (select page_id from tapage where file_name='"&amp;C2&amp;"') "</f>
        <v xml:space="preserve"> (select page_id from tapage where file_name='workPmiList') </v>
      </c>
      <c r="X2" s="14" t="str">
        <f t="shared" ref="X2:X21" si="1">"INSERT INTO TAPGFIELD (pgfield_id, page_id, field_id, description, hidden_yn, ord_no, display_yn, key_type, key_no, check_yn, readonly_yn, file_name, system_yn, site_type, version_info, basic_key_type, basic_key_no, cre_date, upd_date)"</f>
        <v>INSERT INTO TAPGFIELD (pgfield_id, page_id, field_id, description, hidden_yn, ord_no, display_yn, key_type, key_no, check_yn, readonly_yn, file_name, system_yn, site_type, version_info, basic_key_type, basic_key_no, cre_date, upd_date)</v>
      </c>
      <c r="Y2" t="s">
        <v>33</v>
      </c>
      <c r="Z2" s="14" t="str">
        <f t="shared" ref="Z2:Z19" si="2">X2&amp;" VALUES (sqapgfield_id.nextval, "&amp;W2&amp;", '"&amp;TRIM(D2)&amp;"', '"&amp;TRIM(E2)&amp;"', '"&amp;TRIM(F2)&amp;"', '"&amp;TRIM(J2)&amp;"', '"&amp;TRIM(G2)&amp;"', '"&amp;TRIM(N2)&amp;"', '"&amp;TRIM(O2)&amp;"', '"&amp;TRIM(H2)&amp;"',   '"&amp;TRIM(I2)&amp;"',  '"&amp;TRIM(C2)&amp;"',  '"&amp;TRIM(I2)&amp;"',  '"&amp;TRIM(P2)&amp;"',  '"&amp;TRIM(Q2)&amp;"',  '"&amp;TRIM(N2)&amp;"',  '"&amp;TRIM(O2)&amp;"',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'workPmiCommonDTO.filterStartDate', '일자', 'N', '110', 'Y', 'LABEL', 'workDate', 'N',   'N',  'workPmiList',  'N',  'DREAM',  '2.00',  'LABEL',  'workDate', to_char(sysdate,'yyyymmddhh24miss'), to_char(sysdate,'yyyymmddhh24miss'));</v>
      </c>
      <c r="AA2" s="14" t="str">
        <f t="shared" ref="AA2:AA19" si="3">" update tapgfield set version_info='"&amp;Q2&amp;"',str_length='"&amp;K2&amp;"',system_yn='"&amp;M2&amp;"',hidden_yn='"&amp;F2&amp;"',display_yn ='"&amp;G2&amp;"'  ,check_yn='"&amp;H2&amp;"',readonly_yn='"&amp;I2&amp;"',ord_no='"&amp;J2&amp;"',key_type='"&amp;N2&amp;"',key_no='"&amp;O2&amp;"',site_type='"&amp;P2&amp;"',basic_key_type='"&amp;N2&amp;"',basic_key_no='"&amp;O2&amp;"' ,upd_date= to_char(sysdate,'yyyymmddhh24miss') where page_id = "&amp;W2&amp;" and field_id = '"&amp;D2&amp;"'; "</f>
        <v xml:space="preserve"> update tapgfield set version_info='2.00',str_length='',system_yn='N',hidden_yn='N',display_yn ='Y'  ,check_yn='N',readonly_yn='N',ord_no='110',key_type='LABEL',key_no='workDate',site_type='DREAM',basic_key_type='LABEL',basic_key_no='workDate' ,upd_date= to_char(sysdate,'yyyymmddhh24miss') where page_id =  (select page_id from tapage where file_name='workPmiList')  and field_id = 'workPmiCommonDTO.filterStartDate'; </v>
      </c>
      <c r="AB2" t="s">
        <v>33</v>
      </c>
      <c r="AC2" s="14" t="str">
        <f t="shared" ref="AC2:AC19" si="4">X2&amp;" VALUES (next value for sqapgfield_id, "&amp;W2&amp;", '"&amp;TRIM(D2)&amp;"', '"&amp;TRIM(E2)&amp;"', '"&amp;TRIM(F2)&amp;"', '"&amp;TRIM(J2)&amp;"', '"&amp;TRIM(G2)&amp;"', '"&amp;TRIM(N2)&amp;"', '"&amp;TRIM(O2)&amp;"', '"&amp;TRIM(H2)&amp;"',   '"&amp;TRIM(I2)&amp;"',  '"&amp;TRIM(C2)&amp;"',  '"&amp;TRIM(I2)&amp;"',  '"&amp;TRIM(P2)&amp;"',  '"&amp;TRIM(Q2)&amp;"',  '"&amp;TRIM(N2)&amp;"',  '"&amp;TRIM(O2)&amp;"',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'workPmiCommonDTO.filterStartDate', '일자', 'N', '110', 'Y', 'LABEL', 'workDate', 'N',   'N',  'workPmiList',  'N',  'DREAM',  '2.00',  'LABEL',  'workDate', CONVERT(CHAR(8),GETDATE(),112)+REPLACE(CONVERT(CHAR(8),GETDATE(),108),':',''), CONVERT(CHAR(8),GETDATE(),112)+REPLACE(CONVERT(CHAR(8),GETDATE(),108),':',''));</v>
      </c>
      <c r="AD2" s="15" t="str">
        <f t="shared" ref="AD2:AD19" si="5">" update tapgfield set version_info='"&amp;Q2&amp;"',str_length='"&amp;K2&amp;"',system_yn='"&amp;M2&amp;"',hidden_yn='"&amp;F2&amp;"',display_yn ='"&amp;G2&amp;"'  ,check_yn='"&amp;H2&amp;"',readonly_yn='"&amp;I2&amp;"',ord_no='"&amp;J2&amp;"',key_type='"&amp;N2&amp;"',key_no='"&amp;O2&amp;"',site_type='"&amp;P2&amp;"',basic_key_type='"&amp;N2&amp;"',basic_key_no='"&amp;O2&amp;"' ,upd_date= CONVERT(CHAR(8),GETDATE(),112)+REPLACE(CONVERT(CHAR(8),GETDATE(),108),':','') where page_id = "&amp;W2&amp;" and field_id = '"&amp;D2&amp;"'; "</f>
        <v xml:space="preserve"> update tapgfield set version_info='2.00',str_length='',system_yn='N',hidden_yn='N',display_yn ='Y'  ,check_yn='N',readonly_yn='N',ord_no='110',key_type='LABEL',key_no='workDate',site_type='DREAM',basic_key_type='LABEL',basic_key_no='workDate' ,upd_date= CONVERT(CHAR(8),GETDATE(),112)+REPLACE(CONVERT(CHAR(8),GETDATE(),108),':','') where page_id =  (select page_id from tapage where file_name='workPmiList')  and field_id = 'workPmiCommonDTO.filterStartDate'; </v>
      </c>
      <c r="AE2" t="s">
        <v>33</v>
      </c>
      <c r="AF2" s="14" t="str">
        <f t="shared" ref="AF2:AF19" si="6">X2&amp;" VALUES (sqapgfield_id.nextval, "&amp;W2&amp;", '"&amp;TRIM(D2)&amp;"', '"&amp;TRIM(E2)&amp;"', 'Y', '"&amp;TRIM(J2)&amp;"', 'N', '"&amp;TRIM(N2)&amp;"', '"&amp;TRIM(O2)&amp;"', '"&amp;TRIM(H2)&amp;"',   '"&amp;TRIM(I2)&amp;"',  '"&amp;TRIM(C2)&amp;"',  '"&amp;TRIM(I2)&amp;"',  '"&amp;TRIM(P2)&amp;"',  '"&amp;TRIM(Q2)&amp;"',  '"&amp;TRIM(N2)&amp;"',  '"&amp;TRIM(O2)&amp;"',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'workPmiCommonDTO.filterStartDate', '일자', 'Y', '110', 'N', 'LABEL', 'workDate', 'N',   'N',  'workPmiList',  'N',  'DREAM',  '2.00',  'LABEL',  'workDate', to_char(sysdate,'yyyymmddhh24miss'), to_char(sysdate,'yyyymmddhh24miss'));</v>
      </c>
      <c r="AG2" s="15" t="str">
        <f t="shared" ref="AG2:AG19" si="7">X2&amp;" VALUES (next value for sqapgfield_id, "&amp;W2&amp;", '"&amp;TRIM(D2)&amp;"', '"&amp;TRIM(E2)&amp;"', 'Y', '"&amp;TRIM(J2)&amp;"', 'N', '"&amp;TRIM(N2)&amp;"', '"&amp;TRIM(O2)&amp;"', '"&amp;TRIM(H2)&amp;"',   '"&amp;TRIM(I2)&amp;"',  '"&amp;TRIM(C2)&amp;"',  '"&amp;TRIM(I2)&amp;"',  '"&amp;TRIM(P2)&amp;"',  '"&amp;TRIM(Q2)&amp;"',  '"&amp;TRIM(N2)&amp;"',  '"&amp;TRIM(O2)&amp;"',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'workPmiCommonDTO.filterStartDate', '일자', 'Y', '110', 'N', 'LABEL', 'workDate', 'N',   'N',  'workPmiList',  'N',  'DREAM',  '2.00',  'LABEL',  'workDate', CONVERT(CHAR(8),GETDATE(),112)+REPLACE(CONVERT(CHAR(8),GETDATE(),108),':',''), CONVERT(CHAR(8),GETDATE(),112)+REPLACE(CONVERT(CHAR(8),GETDATE(),108),':',''));</v>
      </c>
      <c r="AH2" t="s">
        <v>33</v>
      </c>
      <c r="AI2" s="15" t="str">
        <f t="shared" ref="AI2:AI19" si="8">X2&amp;" VALUES (sqapgfield_id.nextval, "&amp;W2&amp;", '"&amp;TRIM(D2)&amp;"', '"&amp;TRIM(E2)&amp;"', 'N', '"&amp;TRIM(J2)&amp;"', 'Y', '"&amp;TRIM(N2)&amp;"', '"&amp;TRIM(O2)&amp;"', '"&amp;TRIM(H2)&amp;"',   '"&amp;TRIM(I2)&amp;"',  '"&amp;TRIM(C2)&amp;"',  '"&amp;TRIM(I2)&amp;"',  '"&amp;TRIM(P2)&amp;"',  '"&amp;TRIM(Q2)&amp;"',  '"&amp;TRIM(N2)&amp;"',  '"&amp;TRIM(O2)&amp;"',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'workPmiCommonDTO.filterStartDate', '일자', 'N', '110', 'Y', 'LABEL', 'workDate', 'N',   'N',  'workPmiList',  'N',  'DREAM',  '2.00',  'LABEL',  'workDate', to_char(sysdate,'yyyymmddhh24miss'), to_char(sysdate,'yyyymmddhh24miss'));</v>
      </c>
      <c r="AJ2" s="15" t="str">
        <f t="shared" ref="AJ2:AJ19" si="9">X2&amp;" VALUES (next value for sqapgfield_id, "&amp;W2&amp;", '"&amp;TRIM(D2)&amp;"', '"&amp;TRIM(E2)&amp;"', 'N', '"&amp;TRIM(J2)&amp;"', 'Y', '"&amp;TRIM(N2)&amp;"', '"&amp;TRIM(O2)&amp;"', '"&amp;TRIM(H2)&amp;"',   '"&amp;TRIM(I2)&amp;"',  '"&amp;TRIM(C2)&amp;"',  '"&amp;TRIM(I2)&amp;"',  '"&amp;TRIM(P2)&amp;"',  '"&amp;TRIM(Q2)&amp;"',  '"&amp;TRIM(N2)&amp;"',  '"&amp;TRIM(O2)&amp;"',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'workPmiCommonDTO.filterStartDate', '일자', 'N', '110', 'Y', 'LABEL', 'workDate', 'N',   'N',  'workPmiList',  'N',  'DREAM',  '2.00',  'LABEL',  'workDate', CONVERT(CHAR(8),GETDATE(),112)+REPLACE(CONVERT(CHAR(8),GETDATE(),108),':',''), CONVERT(CHAR(8),GETDATE(),112)+REPLACE(CONVERT(CHAR(8),GETDATE(),108),':',''));</v>
      </c>
    </row>
    <row r="3" spans="1:36" s="15" customFormat="1" x14ac:dyDescent="0.3">
      <c r="A3" s="15">
        <v>2</v>
      </c>
      <c r="B3" s="14" t="s">
        <v>36</v>
      </c>
      <c r="C3" s="16" t="s">
        <v>42</v>
      </c>
      <c r="D3" s="16" t="s">
        <v>122</v>
      </c>
      <c r="E3" s="16" t="s">
        <v>121</v>
      </c>
      <c r="F3" s="16" t="s">
        <v>306</v>
      </c>
      <c r="G3" s="16" t="s">
        <v>38</v>
      </c>
      <c r="H3" s="16" t="s">
        <v>44</v>
      </c>
      <c r="I3" s="16" t="s">
        <v>44</v>
      </c>
      <c r="J3" s="16" t="s">
        <v>301</v>
      </c>
      <c r="M3" s="16" t="s">
        <v>44</v>
      </c>
      <c r="N3" s="16" t="s">
        <v>55</v>
      </c>
      <c r="O3" s="16" t="s">
        <v>123</v>
      </c>
      <c r="P3" s="16" t="s">
        <v>39</v>
      </c>
      <c r="Q3" s="17" t="s">
        <v>40</v>
      </c>
      <c r="W3" s="14" t="str">
        <f t="shared" ref="W3:W9" si="10">" (select page_id from tapage where file_name='"&amp;C3&amp;"') "</f>
        <v xml:space="preserve"> (select page_id from tapage where file_name='workPmiList') </v>
      </c>
      <c r="X3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3" t="s">
        <v>33</v>
      </c>
      <c r="Z3" s="14" t="str">
        <f t="shared" ref="Z3:Z9" si="11">X3&amp;" VALUES (sqapgfield_id.nextval, "&amp;W3&amp;", '"&amp;TRIM(D3)&amp;"', '"&amp;TRIM(E3)&amp;"', '"&amp;TRIM(F3)&amp;"', '"&amp;TRIM(J3)&amp;"', '"&amp;TRIM(G3)&amp;"', '"&amp;TRIM(N3)&amp;"', '"&amp;TRIM(O3)&amp;"', '"&amp;TRIM(H3)&amp;"',   '"&amp;TRIM(I3)&amp;"',  '"&amp;TRIM(C3)&amp;"',  '"&amp;TRIM(I3)&amp;"',  '"&amp;TRIM(P3)&amp;"',  '"&amp;TRIM(Q3)&amp;"',  '"&amp;TRIM(N3)&amp;"',  '"&amp;TRIM(O3)&amp;"',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'workPmiCommonDTO.filterPlantDesc', '공장명', 'N', '120', 'Y', 'LABEL', 'plantDesc', 'N',   'N',  'workPmiList',  'N',  'DREAM',  '2.00',  'LABEL',  'plantDesc', to_char(sysdate,'yyyymmddhh24miss'), to_char(sysdate,'yyyymmddhh24miss'));</v>
      </c>
      <c r="AA3" s="14" t="str">
        <f t="shared" ref="AA3:AA9" si="12">" update tapgfield set version_info='"&amp;Q3&amp;"',str_length='"&amp;K3&amp;"',system_yn='"&amp;M3&amp;"',hidden_yn='"&amp;F3&amp;"',display_yn ='"&amp;G3&amp;"'  ,check_yn='"&amp;H3&amp;"',readonly_yn='"&amp;I3&amp;"',ord_no='"&amp;J3&amp;"',key_type='"&amp;N3&amp;"',key_no='"&amp;O3&amp;"',site_type='"&amp;P3&amp;"',basic_key_type='"&amp;N3&amp;"',basic_key_no='"&amp;O3&amp;"' ,upd_date= to_char(sysdate,'yyyymmddhh24miss') where page_id = "&amp;W3&amp;" and field_id = '"&amp;D3&amp;"'; "</f>
        <v xml:space="preserve"> update tapgfield set version_info='2.00',str_length='',system_yn='N',hidden_yn='N',display_yn ='Y'  ,check_yn='N',readonly_yn='N',ord_no='120',key_type='LABEL',key_no='plantDesc',site_type='DREAM',basic_key_type='LABEL',basic_key_no='plantDesc' ,upd_date= to_char(sysdate,'yyyymmddhh24miss') where page_id =  (select page_id from tapage where file_name='workPmiList')  and field_id = 'workPmiCommonDTO.filterPlantDesc'; </v>
      </c>
      <c r="AB3" t="s">
        <v>33</v>
      </c>
      <c r="AC3" s="14" t="str">
        <f t="shared" ref="AC3:AC9" si="13">X3&amp;" VALUES (next value for sqapgfield_id, "&amp;W3&amp;", '"&amp;TRIM(D3)&amp;"', '"&amp;TRIM(E3)&amp;"', '"&amp;TRIM(F3)&amp;"', '"&amp;TRIM(J3)&amp;"', '"&amp;TRIM(G3)&amp;"', '"&amp;TRIM(N3)&amp;"', '"&amp;TRIM(O3)&amp;"', '"&amp;TRIM(H3)&amp;"',   '"&amp;TRIM(I3)&amp;"',  '"&amp;TRIM(C3)&amp;"',  '"&amp;TRIM(I3)&amp;"',  '"&amp;TRIM(P3)&amp;"',  '"&amp;TRIM(Q3)&amp;"',  '"&amp;TRIM(N3)&amp;"',  '"&amp;TRIM(O3)&amp;"',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'workPmiCommonDTO.filterPlantDesc', '공장명', 'N', '120', 'Y', 'LABEL', 'plantDesc', 'N',   'N',  'workPmiList',  'N',  'DREAM',  '2.00',  'LABEL',  'plantDesc', CONVERT(CHAR(8),GETDATE(),112)+REPLACE(CONVERT(CHAR(8),GETDATE(),108),':',''), CONVERT(CHAR(8),GETDATE(),112)+REPLACE(CONVERT(CHAR(8),GETDATE(),108),':',''));</v>
      </c>
      <c r="AD3" s="15" t="str">
        <f t="shared" ref="AD3:AD9" si="14">" update tapgfield set version_info='"&amp;Q3&amp;"',str_length='"&amp;K3&amp;"',system_yn='"&amp;M3&amp;"',hidden_yn='"&amp;F3&amp;"',display_yn ='"&amp;G3&amp;"'  ,check_yn='"&amp;H3&amp;"',readonly_yn='"&amp;I3&amp;"',ord_no='"&amp;J3&amp;"',key_type='"&amp;N3&amp;"',key_no='"&amp;O3&amp;"',site_type='"&amp;P3&amp;"',basic_key_type='"&amp;N3&amp;"',basic_key_no='"&amp;O3&amp;"' ,upd_date= CONVERT(CHAR(8),GETDATE(),112)+REPLACE(CONVERT(CHAR(8),GETDATE(),108),':','') where page_id = "&amp;W3&amp;" and field_id = '"&amp;D3&amp;"'; "</f>
        <v xml:space="preserve"> update tapgfield set version_info='2.00',str_length='',system_yn='N',hidden_yn='N',display_yn ='Y'  ,check_yn='N',readonly_yn='N',ord_no='120',key_type='LABEL',key_no='plantDesc',site_type='DREAM',basic_key_type='LABEL',basic_key_no='plantDesc' ,upd_date= CONVERT(CHAR(8),GETDATE(),112)+REPLACE(CONVERT(CHAR(8),GETDATE(),108),':','') where page_id =  (select page_id from tapage where file_name='workPmiList')  and field_id = 'workPmiCommonDTO.filterPlantDesc'; </v>
      </c>
      <c r="AE3" t="s">
        <v>33</v>
      </c>
      <c r="AF3" s="14" t="str">
        <f t="shared" ref="AF3:AF9" si="15">X3&amp;" VALUES (sqapgfield_id.nextval, "&amp;W3&amp;", '"&amp;TRIM(D3)&amp;"', '"&amp;TRIM(E3)&amp;"', 'Y', '"&amp;TRIM(J3)&amp;"', 'N', '"&amp;TRIM(N3)&amp;"', '"&amp;TRIM(O3)&amp;"', '"&amp;TRIM(H3)&amp;"',   '"&amp;TRIM(I3)&amp;"',  '"&amp;TRIM(C3)&amp;"',  '"&amp;TRIM(I3)&amp;"',  '"&amp;TRIM(P3)&amp;"',  '"&amp;TRIM(Q3)&amp;"',  '"&amp;TRIM(N3)&amp;"',  '"&amp;TRIM(O3)&amp;"',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'workPmiCommonDTO.filterPlantDesc', '공장명', 'Y', '120', 'N', 'LABEL', 'plantDesc', 'N',   'N',  'workPmiList',  'N',  'DREAM',  '2.00',  'LABEL',  'plantDesc', to_char(sysdate,'yyyymmddhh24miss'), to_char(sysdate,'yyyymmddhh24miss'));</v>
      </c>
      <c r="AG3" s="15" t="str">
        <f t="shared" ref="AG3:AG9" si="16">X3&amp;" VALUES (next value for sqapgfield_id, "&amp;W3&amp;", '"&amp;TRIM(D3)&amp;"', '"&amp;TRIM(E3)&amp;"', 'Y', '"&amp;TRIM(J3)&amp;"', 'N', '"&amp;TRIM(N3)&amp;"', '"&amp;TRIM(O3)&amp;"', '"&amp;TRIM(H3)&amp;"',   '"&amp;TRIM(I3)&amp;"',  '"&amp;TRIM(C3)&amp;"',  '"&amp;TRIM(I3)&amp;"',  '"&amp;TRIM(P3)&amp;"',  '"&amp;TRIM(Q3)&amp;"',  '"&amp;TRIM(N3)&amp;"',  '"&amp;TRIM(O3)&amp;"',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'workPmiCommonDTO.filterPlantDesc', '공장명', 'Y', '120', 'N', 'LABEL', 'plantDesc', 'N',   'N',  'workPmiList',  'N',  'DREAM',  '2.00',  'LABEL',  'plantDesc', CONVERT(CHAR(8),GETDATE(),112)+REPLACE(CONVERT(CHAR(8),GETDATE(),108),':',''), CONVERT(CHAR(8),GETDATE(),112)+REPLACE(CONVERT(CHAR(8),GETDATE(),108),':',''));</v>
      </c>
      <c r="AH3" t="s">
        <v>33</v>
      </c>
      <c r="AI3" s="15" t="str">
        <f t="shared" ref="AI3:AI9" si="17">X3&amp;" VALUES (sqapgfield_id.nextval, "&amp;W3&amp;", '"&amp;TRIM(D3)&amp;"', '"&amp;TRIM(E3)&amp;"', 'N', '"&amp;TRIM(J3)&amp;"', 'Y', '"&amp;TRIM(N3)&amp;"', '"&amp;TRIM(O3)&amp;"', '"&amp;TRIM(H3)&amp;"',   '"&amp;TRIM(I3)&amp;"',  '"&amp;TRIM(C3)&amp;"',  '"&amp;TRIM(I3)&amp;"',  '"&amp;TRIM(P3)&amp;"',  '"&amp;TRIM(Q3)&amp;"',  '"&amp;TRIM(N3)&amp;"',  '"&amp;TRIM(O3)&amp;"',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'workPmiCommonDTO.filterPlantDesc', '공장명', 'N', '120', 'Y', 'LABEL', 'plantDesc', 'N',   'N',  'workPmiList',  'N',  'DREAM',  '2.00',  'LABEL',  'plantDesc', to_char(sysdate,'yyyymmddhh24miss'), to_char(sysdate,'yyyymmddhh24miss'));</v>
      </c>
      <c r="AJ3" s="15" t="str">
        <f t="shared" ref="AJ3:AJ9" si="18">X3&amp;" VALUES (next value for sqapgfield_id, "&amp;W3&amp;", '"&amp;TRIM(D3)&amp;"', '"&amp;TRIM(E3)&amp;"', 'N', '"&amp;TRIM(J3)&amp;"', 'Y', '"&amp;TRIM(N3)&amp;"', '"&amp;TRIM(O3)&amp;"', '"&amp;TRIM(H3)&amp;"',   '"&amp;TRIM(I3)&amp;"',  '"&amp;TRIM(C3)&amp;"',  '"&amp;TRIM(I3)&amp;"',  '"&amp;TRIM(P3)&amp;"',  '"&amp;TRIM(Q3)&amp;"',  '"&amp;TRIM(N3)&amp;"',  '"&amp;TRIM(O3)&amp;"',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'workPmiCommonDTO.filterPlantDesc', '공장명', 'N', '120', 'Y', 'LABEL', 'plantDesc', 'N',   'N',  'workPmiList',  'N',  'DREAM',  '2.00',  'LABEL',  'plantDesc', CONVERT(CHAR(8),GETDATE(),112)+REPLACE(CONVERT(CHAR(8),GETDATE(),108),':',''), CONVERT(CHAR(8),GETDATE(),112)+REPLACE(CONVERT(CHAR(8),GETDATE(),108),':',''));</v>
      </c>
    </row>
    <row r="4" spans="1:36" s="15" customFormat="1" x14ac:dyDescent="0.3">
      <c r="A4" s="15">
        <v>3</v>
      </c>
      <c r="B4" s="14" t="s">
        <v>36</v>
      </c>
      <c r="C4" s="16" t="s">
        <v>42</v>
      </c>
      <c r="D4" s="16" t="s">
        <v>99</v>
      </c>
      <c r="E4" s="16" t="s">
        <v>98</v>
      </c>
      <c r="F4" s="16" t="s">
        <v>306</v>
      </c>
      <c r="G4" s="16" t="s">
        <v>38</v>
      </c>
      <c r="H4" s="16" t="s">
        <v>44</v>
      </c>
      <c r="I4" s="16" t="s">
        <v>44</v>
      </c>
      <c r="J4" s="16" t="s">
        <v>57</v>
      </c>
      <c r="M4" s="16" t="s">
        <v>44</v>
      </c>
      <c r="N4" s="15" t="s">
        <v>55</v>
      </c>
      <c r="O4" s="16" t="s">
        <v>100</v>
      </c>
      <c r="P4" s="16" t="s">
        <v>39</v>
      </c>
      <c r="Q4" s="17" t="s">
        <v>40</v>
      </c>
      <c r="W4" s="14" t="str">
        <f t="shared" si="10"/>
        <v xml:space="preserve"> (select page_id from tapage where file_name='workPmiList') </v>
      </c>
      <c r="X4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4" t="s">
        <v>33</v>
      </c>
      <c r="Z4" s="14" t="str">
        <f t="shared" si="11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'workPmiCommonDTO.filterDeptDesc', '부서', 'N', '130', 'Y', 'LABEL', 'dept', 'N',   'N',  'workPmiList',  'N',  'DREAM',  '2.00',  'LABEL',  'dept', to_char(sysdate,'yyyymmddhh24miss'), to_char(sysdate,'yyyymmddhh24miss'));</v>
      </c>
      <c r="AA4" s="14" t="str">
        <f t="shared" si="12"/>
        <v xml:space="preserve"> update tapgfield set version_info='2.00',str_length='',system_yn='N',hidden_yn='N',display_yn ='Y'  ,check_yn='N',readonly_yn='N',ord_no='130',key_type='LABEL',key_no='dept',site_type='DREAM',basic_key_type='LABEL',basic_key_no='dept' ,upd_date= to_char(sysdate,'yyyymmddhh24miss') where page_id =  (select page_id from tapage where file_name='workPmiList')  and field_id = 'workPmiCommonDTO.filterDeptDesc'; </v>
      </c>
      <c r="AB4" t="s">
        <v>33</v>
      </c>
      <c r="AC4" s="14" t="str">
        <f t="shared" si="13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'workPmiCommonDTO.filterDeptDesc', '부서', 'N', '130', 'Y', 'LABEL', 'dept', 'N',   'N',  'workPmiList',  'N',  'DREAM',  '2.00',  'LABEL',  'dept', CONVERT(CHAR(8),GETDATE(),112)+REPLACE(CONVERT(CHAR(8),GETDATE(),108),':',''), CONVERT(CHAR(8),GETDATE(),112)+REPLACE(CONVERT(CHAR(8),GETDATE(),108),':',''));</v>
      </c>
      <c r="AD4" s="15" t="str">
        <f t="shared" si="14"/>
        <v xml:space="preserve"> update tapgfield set version_info='2.00',str_length='',system_yn='N',hidden_yn='N',display_yn ='Y'  ,check_yn='N',readonly_yn='N',ord_no='130',key_type='LABEL',key_no='dept',site_type='DREAM',basic_key_type='LABEL',basic_key_no='dept' ,upd_date= CONVERT(CHAR(8),GETDATE(),112)+REPLACE(CONVERT(CHAR(8),GETDATE(),108),':','') where page_id =  (select page_id from tapage where file_name='workPmiList')  and field_id = 'workPmiCommonDTO.filterDeptDesc'; </v>
      </c>
      <c r="AE4" t="s">
        <v>33</v>
      </c>
      <c r="AF4" s="14" t="str">
        <f t="shared" si="1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'workPmiCommonDTO.filterDeptDesc', '부서', 'Y', '130', 'N', 'LABEL', 'dept', 'N',   'N',  'workPmiList',  'N',  'DREAM',  '2.00',  'LABEL',  'dept', to_char(sysdate,'yyyymmddhh24miss'), to_char(sysdate,'yyyymmddhh24miss'));</v>
      </c>
      <c r="AG4" s="15" t="str">
        <f t="shared" si="1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'workPmiCommonDTO.filterDeptDesc', '부서', 'Y', '130', 'N', 'LABEL', 'dept', 'N',   'N',  'workPmiList',  'N',  'DREAM',  '2.00',  'LABEL',  'dept', CONVERT(CHAR(8),GETDATE(),112)+REPLACE(CONVERT(CHAR(8),GETDATE(),108),':',''), CONVERT(CHAR(8),GETDATE(),112)+REPLACE(CONVERT(CHAR(8),GETDATE(),108),':',''));</v>
      </c>
      <c r="AH4" t="s">
        <v>33</v>
      </c>
      <c r="AI4" s="15" t="str">
        <f t="shared" si="17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'workPmiCommonDTO.filterDeptDesc', '부서', 'N', '130', 'Y', 'LABEL', 'dept', 'N',   'N',  'workPmiList',  'N',  'DREAM',  '2.00',  'LABEL',  'dept', to_char(sysdate,'yyyymmddhh24miss'), to_char(sysdate,'yyyymmddhh24miss'));</v>
      </c>
      <c r="AJ4" s="15" t="str">
        <f t="shared" si="18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'workPmiCommonDTO.filterDeptDesc', '부서', 'N', '130', 'Y', 'LABEL', 'dept', 'N',   'N',  'workPmiList',  'N',  'DREAM',  '2.00',  'LABEL',  'dept', CONVERT(CHAR(8),GETDATE(),112)+REPLACE(CONVERT(CHAR(8),GETDATE(),108),':',''), CONVERT(CHAR(8),GETDATE(),112)+REPLACE(CONVERT(CHAR(8),GETDATE(),108),':',''));</v>
      </c>
    </row>
    <row r="5" spans="1:36" s="15" customFormat="1" x14ac:dyDescent="0.3">
      <c r="A5" s="15">
        <v>4</v>
      </c>
      <c r="B5" s="14" t="s">
        <v>36</v>
      </c>
      <c r="C5" s="16" t="s">
        <v>42</v>
      </c>
      <c r="D5" s="16" t="s">
        <v>117</v>
      </c>
      <c r="E5" s="16" t="s">
        <v>75</v>
      </c>
      <c r="F5" s="16" t="s">
        <v>306</v>
      </c>
      <c r="G5" s="16" t="s">
        <v>38</v>
      </c>
      <c r="H5" s="16" t="s">
        <v>44</v>
      </c>
      <c r="I5" s="16" t="s">
        <v>44</v>
      </c>
      <c r="J5" s="16" t="s">
        <v>60</v>
      </c>
      <c r="M5" s="16" t="s">
        <v>44</v>
      </c>
      <c r="N5" s="16" t="s">
        <v>55</v>
      </c>
      <c r="O5" s="16" t="s">
        <v>77</v>
      </c>
      <c r="P5" s="16" t="s">
        <v>39</v>
      </c>
      <c r="Q5" s="17" t="s">
        <v>40</v>
      </c>
      <c r="W5" s="14" t="str">
        <f t="shared" si="10"/>
        <v xml:space="preserve"> (select page_id from tapage where file_name='workPmiList') </v>
      </c>
      <c r="X5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5" t="s">
        <v>33</v>
      </c>
      <c r="Z5" s="14" t="str">
        <f t="shared" si="11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'workPmiCommonDTO.filterWkCtrDesc', '작업그룹', 'N', '140', 'Y', 'LABEL', 'wkCtr', 'N',   'N',  'workPmiList',  'N',  'DREAM',  '2.00',  'LABEL',  'wkCtr', to_char(sysdate,'yyyymmddhh24miss'), to_char(sysdate,'yyyymmddhh24miss'));</v>
      </c>
      <c r="AA5" s="14" t="str">
        <f t="shared" si="12"/>
        <v xml:space="preserve"> update tapgfield set version_info='2.00',str_length='',system_yn='N',hidden_yn='N',display_yn ='Y'  ,check_yn='N',readonly_yn='N',ord_no='140',key_type='LABEL',key_no='wkCtr',site_type='DREAM',basic_key_type='LABEL',basic_key_no='wkCtr' ,upd_date= to_char(sysdate,'yyyymmddhh24miss') where page_id =  (select page_id from tapage where file_name='workPmiList')  and field_id = 'workPmiCommonDTO.filterWkCtrDesc'; </v>
      </c>
      <c r="AB5" t="s">
        <v>33</v>
      </c>
      <c r="AC5" s="14" t="str">
        <f t="shared" si="13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'workPmiCommonDTO.filterWkCtrDesc', '작업그룹', 'N', '140', 'Y', 'LABEL', 'wkCtr', 'N',   'N',  'workPmiList',  'N',  'DREAM',  '2.00',  'LABEL',  'wkCtr', CONVERT(CHAR(8),GETDATE(),112)+REPLACE(CONVERT(CHAR(8),GETDATE(),108),':',''), CONVERT(CHAR(8),GETDATE(),112)+REPLACE(CONVERT(CHAR(8),GETDATE(),108),':',''));</v>
      </c>
      <c r="AD5" s="15" t="str">
        <f t="shared" si="14"/>
        <v xml:space="preserve"> update tapgfield set version_info='2.00',str_length='',system_yn='N',hidden_yn='N',display_yn ='Y'  ,check_yn='N',readonly_yn='N',ord_no='140',key_type='LABEL',key_no='wkCtr',site_type='DREAM',basic_key_type='LABEL',basic_key_no='wkCtr' ,upd_date= CONVERT(CHAR(8),GETDATE(),112)+REPLACE(CONVERT(CHAR(8),GETDATE(),108),':','') where page_id =  (select page_id from tapage where file_name='workPmiList')  and field_id = 'workPmiCommonDTO.filterWkCtrDesc'; </v>
      </c>
      <c r="AE5" t="s">
        <v>33</v>
      </c>
      <c r="AF5" s="14" t="str">
        <f t="shared" si="1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'workPmiCommonDTO.filterWkCtrDesc', '작업그룹', 'Y', '140', 'N', 'LABEL', 'wkCtr', 'N',   'N',  'workPmiList',  'N',  'DREAM',  '2.00',  'LABEL',  'wkCtr', to_char(sysdate,'yyyymmddhh24miss'), to_char(sysdate,'yyyymmddhh24miss'));</v>
      </c>
      <c r="AG5" s="15" t="str">
        <f t="shared" si="1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'workPmiCommonDTO.filterWkCtrDesc', '작업그룹', 'Y', '140', 'N', 'LABEL', 'wkCtr', 'N',   'N',  'workPmiList',  'N',  'DREAM',  '2.00',  'LABEL',  'wkCtr', CONVERT(CHAR(8),GETDATE(),112)+REPLACE(CONVERT(CHAR(8),GETDATE(),108),':',''), CONVERT(CHAR(8),GETDATE(),112)+REPLACE(CONVERT(CHAR(8),GETDATE(),108),':',''));</v>
      </c>
      <c r="AH5" t="s">
        <v>33</v>
      </c>
      <c r="AI5" s="15" t="str">
        <f t="shared" si="17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'workPmiCommonDTO.filterWkCtrDesc', '작업그룹', 'N', '140', 'Y', 'LABEL', 'wkCtr', 'N',   'N',  'workPmiList',  'N',  'DREAM',  '2.00',  'LABEL',  'wkCtr', to_char(sysdate,'yyyymmddhh24miss'), to_char(sysdate,'yyyymmddhh24miss'));</v>
      </c>
      <c r="AJ5" s="15" t="str">
        <f t="shared" si="18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'workPmiCommonDTO.filterWkCtrDesc', '작업그룹', 'N', '140', 'Y', 'LABEL', 'wkCtr', 'N',   'N',  'workPmiList',  'N',  'DREAM',  '2.00',  'LABEL',  'wkCtr', CONVERT(CHAR(8),GETDATE(),112)+REPLACE(CONVERT(CHAR(8),GETDATE(),108),':',''), CONVERT(CHAR(8),GETDATE(),112)+REPLACE(CONVERT(CHAR(8),GETDATE(),108),':',''));</v>
      </c>
    </row>
    <row r="6" spans="1:36" s="15" customFormat="1" x14ac:dyDescent="0.3">
      <c r="A6" s="15">
        <v>5</v>
      </c>
      <c r="B6" s="14" t="s">
        <v>36</v>
      </c>
      <c r="C6" s="16" t="s">
        <v>42</v>
      </c>
      <c r="D6" s="16" t="s">
        <v>356</v>
      </c>
      <c r="E6" s="16" t="s">
        <v>79</v>
      </c>
      <c r="F6" s="16" t="s">
        <v>306</v>
      </c>
      <c r="G6" s="16" t="s">
        <v>38</v>
      </c>
      <c r="H6" s="16" t="s">
        <v>44</v>
      </c>
      <c r="I6" s="16" t="s">
        <v>44</v>
      </c>
      <c r="J6" s="16" t="s">
        <v>63</v>
      </c>
      <c r="M6" s="16" t="s">
        <v>44</v>
      </c>
      <c r="N6" s="16" t="s">
        <v>55</v>
      </c>
      <c r="O6" s="16" t="s">
        <v>81</v>
      </c>
      <c r="P6" s="16" t="s">
        <v>39</v>
      </c>
      <c r="Q6" s="17" t="s">
        <v>40</v>
      </c>
      <c r="W6" s="14" t="str">
        <f t="shared" si="10"/>
        <v xml:space="preserve"> (select page_id from tapage where file_name='workPmiList') </v>
      </c>
      <c r="X6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6" t="s">
        <v>33</v>
      </c>
      <c r="Z6" s="14" t="str">
        <f t="shared" si="11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'workPmiCommonDTO.filterManagerDesc', '담당자', 'N', '150', 'Y', 'LABEL', 'manager', 'N',   'N',  'workPmiList',  'N',  'DREAM',  '2.00',  'LABEL',  'manager', to_char(sysdate,'yyyymmddhh24miss'), to_char(sysdate,'yyyymmddhh24miss'));</v>
      </c>
      <c r="AA6" s="14" t="str">
        <f t="shared" si="12"/>
        <v xml:space="preserve"> update tapgfield set version_info='2.00',str_length='',system_yn='N',hidden_yn='N',display_yn ='Y'  ,check_yn='N',readonly_yn='N',ord_no='150',key_type='LABEL',key_no='manager',site_type='DREAM',basic_key_type='LABEL',basic_key_no='manager' ,upd_date= to_char(sysdate,'yyyymmddhh24miss') where page_id =  (select page_id from tapage where file_name='workPmiList')  and field_id = 'workPmiCommonDTO.filterManagerDesc'; </v>
      </c>
      <c r="AB6" t="s">
        <v>33</v>
      </c>
      <c r="AC6" s="14" t="str">
        <f t="shared" si="13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'workPmiCommonDTO.filterManagerDesc', '담당자', 'N', '150', 'Y', 'LABEL', 'manager', 'N',   'N',  'workPmiList',  'N',  'DREAM',  '2.00',  'LABEL',  'manager', CONVERT(CHAR(8),GETDATE(),112)+REPLACE(CONVERT(CHAR(8),GETDATE(),108),':',''), CONVERT(CHAR(8),GETDATE(),112)+REPLACE(CONVERT(CHAR(8),GETDATE(),108),':',''));</v>
      </c>
      <c r="AD6" s="15" t="str">
        <f t="shared" si="14"/>
        <v xml:space="preserve"> update tapgfield set version_info='2.00',str_length='',system_yn='N',hidden_yn='N',display_yn ='Y'  ,check_yn='N',readonly_yn='N',ord_no='150',key_type='LABEL',key_no='manager',site_type='DREAM',basic_key_type='LABEL',basic_key_no='manager' ,upd_date= CONVERT(CHAR(8),GETDATE(),112)+REPLACE(CONVERT(CHAR(8),GETDATE(),108),':','') where page_id =  (select page_id from tapage where file_name='workPmiList')  and field_id = 'workPmiCommonDTO.filterManagerDesc'; </v>
      </c>
      <c r="AE6" t="s">
        <v>33</v>
      </c>
      <c r="AF6" s="14" t="str">
        <f t="shared" si="1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'workPmiCommonDTO.filterManagerDesc', '담당자', 'Y', '150', 'N', 'LABEL', 'manager', 'N',   'N',  'workPmiList',  'N',  'DREAM',  '2.00',  'LABEL',  'manager', to_char(sysdate,'yyyymmddhh24miss'), to_char(sysdate,'yyyymmddhh24miss'));</v>
      </c>
      <c r="AG6" s="15" t="str">
        <f t="shared" si="1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'workPmiCommonDTO.filterManagerDesc', '담당자', 'Y', '150', 'N', 'LABEL', 'manager', 'N',   'N',  'workPmiList',  'N',  'DREAM',  '2.00',  'LABEL',  'manager', CONVERT(CHAR(8),GETDATE(),112)+REPLACE(CONVERT(CHAR(8),GETDATE(),108),':',''), CONVERT(CHAR(8),GETDATE(),112)+REPLACE(CONVERT(CHAR(8),GETDATE(),108),':',''));</v>
      </c>
      <c r="AH6" t="s">
        <v>33</v>
      </c>
      <c r="AI6" s="15" t="str">
        <f t="shared" si="17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'workPmiCommonDTO.filterManagerDesc', '담당자', 'N', '150', 'Y', 'LABEL', 'manager', 'N',   'N',  'workPmiList',  'N',  'DREAM',  '2.00',  'LABEL',  'manager', to_char(sysdate,'yyyymmddhh24miss'), to_char(sysdate,'yyyymmddhh24miss'));</v>
      </c>
      <c r="AJ6" s="15" t="str">
        <f t="shared" si="18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'workPmiCommonDTO.filterManagerDesc', '담당자', 'N', '150', 'Y', 'LABEL', 'manager', 'N',   'N',  'workPmiList',  'N',  'DREAM',  '2.00',  'LABEL',  'manager', CONVERT(CHAR(8),GETDATE(),112)+REPLACE(CONVERT(CHAR(8),GETDATE(),108),':',''), CONVERT(CHAR(8),GETDATE(),112)+REPLACE(CONVERT(CHAR(8),GETDATE(),108),':',''));</v>
      </c>
    </row>
    <row r="7" spans="1:36" s="15" customFormat="1" x14ac:dyDescent="0.3">
      <c r="A7" s="15">
        <v>6</v>
      </c>
      <c r="B7" s="14" t="s">
        <v>36</v>
      </c>
      <c r="C7" s="16" t="s">
        <v>42</v>
      </c>
      <c r="D7" s="16" t="s">
        <v>357</v>
      </c>
      <c r="E7" s="16" t="s">
        <v>350</v>
      </c>
      <c r="F7" s="16" t="s">
        <v>306</v>
      </c>
      <c r="G7" s="16" t="s">
        <v>38</v>
      </c>
      <c r="H7" s="16" t="s">
        <v>44</v>
      </c>
      <c r="I7" s="16" t="s">
        <v>44</v>
      </c>
      <c r="J7" s="16" t="s">
        <v>351</v>
      </c>
      <c r="M7" s="16" t="s">
        <v>44</v>
      </c>
      <c r="N7" s="16" t="s">
        <v>55</v>
      </c>
      <c r="O7" s="16" t="s">
        <v>352</v>
      </c>
      <c r="P7" s="16" t="s">
        <v>39</v>
      </c>
      <c r="Q7" s="17" t="s">
        <v>40</v>
      </c>
      <c r="S7" s="15" t="s">
        <v>353</v>
      </c>
      <c r="T7" s="15" t="s">
        <v>354</v>
      </c>
      <c r="W7" s="14" t="str">
        <f t="shared" ref="W7" si="19">" (select page_id from tapage where file_name='"&amp;C7&amp;"') "</f>
        <v xml:space="preserve"> (select page_id from tapage where file_name='workPmiList') </v>
      </c>
      <c r="X7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7" t="s">
        <v>33</v>
      </c>
      <c r="Z7" s="14" t="str">
        <f t="shared" ref="Z7" si="20">X7&amp;" VALUES (sqapgfield_id.nextval, "&amp;W7&amp;", '"&amp;TRIM(D7)&amp;"', '"&amp;TRIM(E7)&amp;"', '"&amp;TRIM(F7)&amp;"', '"&amp;TRIM(J7)&amp;"', '"&amp;TRIM(G7)&amp;"', '"&amp;TRIM(N7)&amp;"', '"&amp;TRIM(O7)&amp;"', '"&amp;TRIM(H7)&amp;"',   '"&amp;TRIM(I7)&amp;"',  '"&amp;TRIM(C7)&amp;"',  '"&amp;TRIM(I7)&amp;"',  '"&amp;TRIM(P7)&amp;"',  '"&amp;TRIM(Q7)&amp;"',  '"&amp;TRIM(N7)&amp;"',  '"&amp;TRIM(O7)&amp;"',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'workPmiCommonDTO.filterVendorDesc', '거래처', 'N', '154', 'Y', 'LABEL', 'vendor', 'N',   'N',  'workPmiList',  'N',  'DREAM',  '2.00',  'LABEL',  'vendor', to_char(sysdate,'yyyymmddhh24miss'), to_char(sysdate,'yyyymmddhh24miss'));</v>
      </c>
      <c r="AA7" s="14" t="str">
        <f t="shared" ref="AA7" si="21">" update tapgfield set version_info='"&amp;Q7&amp;"',str_length='"&amp;K7&amp;"',system_yn='"&amp;M7&amp;"',hidden_yn='"&amp;F7&amp;"',display_yn ='"&amp;G7&amp;"'  ,check_yn='"&amp;H7&amp;"',readonly_yn='"&amp;I7&amp;"',ord_no='"&amp;J7&amp;"',key_type='"&amp;N7&amp;"',key_no='"&amp;O7&amp;"',site_type='"&amp;P7&amp;"',basic_key_type='"&amp;N7&amp;"',basic_key_no='"&amp;O7&amp;"' ,upd_date= to_char(sysdate,'yyyymmddhh24miss') where page_id = "&amp;W7&amp;" and field_id = '"&amp;D7&amp;"'; "</f>
        <v xml:space="preserve"> update tapgfield set version_info='2.00',str_length='',system_yn='N',hidden_yn='N',display_yn ='Y'  ,check_yn='N',readonly_yn='N',ord_no='154',key_type='LABEL',key_no='vendor',site_type='DREAM',basic_key_type='LABEL',basic_key_no='vendor' ,upd_date= to_char(sysdate,'yyyymmddhh24miss') where page_id =  (select page_id from tapage where file_name='workPmiList')  and field_id = 'workPmiCommonDTO.filterVendorDesc'; </v>
      </c>
      <c r="AB7" t="s">
        <v>33</v>
      </c>
      <c r="AC7" s="14" t="str">
        <f t="shared" ref="AC7" si="22">X7&amp;" VALUES (next value for sqapgfield_id, "&amp;W7&amp;", '"&amp;TRIM(D7)&amp;"', '"&amp;TRIM(E7)&amp;"', '"&amp;TRIM(F7)&amp;"', '"&amp;TRIM(J7)&amp;"', '"&amp;TRIM(G7)&amp;"', '"&amp;TRIM(N7)&amp;"', '"&amp;TRIM(O7)&amp;"', '"&amp;TRIM(H7)&amp;"',   '"&amp;TRIM(I7)&amp;"',  '"&amp;TRIM(C7)&amp;"',  '"&amp;TRIM(I7)&amp;"',  '"&amp;TRIM(P7)&amp;"',  '"&amp;TRIM(Q7)&amp;"',  '"&amp;TRIM(N7)&amp;"',  '"&amp;TRIM(O7)&amp;"',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'workPmiCommonDTO.filterVendorDesc', '거래처', 'N', '154', 'Y', 'LABEL', 'vendor', 'N',   'N',  'workPmiList',  'N',  'DREAM',  '2.00',  'LABEL',  'vendor', CONVERT(CHAR(8),GETDATE(),112)+REPLACE(CONVERT(CHAR(8),GETDATE(),108),':',''), CONVERT(CHAR(8),GETDATE(),112)+REPLACE(CONVERT(CHAR(8),GETDATE(),108),':',''));</v>
      </c>
      <c r="AD7" s="15" t="str">
        <f t="shared" ref="AD7" si="23">" update tapgfield set version_info='"&amp;Q7&amp;"',str_length='"&amp;K7&amp;"',system_yn='"&amp;M7&amp;"',hidden_yn='"&amp;F7&amp;"',display_yn ='"&amp;G7&amp;"'  ,check_yn='"&amp;H7&amp;"',readonly_yn='"&amp;I7&amp;"',ord_no='"&amp;J7&amp;"',key_type='"&amp;N7&amp;"',key_no='"&amp;O7&amp;"',site_type='"&amp;P7&amp;"',basic_key_type='"&amp;N7&amp;"',basic_key_no='"&amp;O7&amp;"' ,upd_date= CONVERT(CHAR(8),GETDATE(),112)+REPLACE(CONVERT(CHAR(8),GETDATE(),108),':','') where page_id = "&amp;W7&amp;" and field_id = '"&amp;D7&amp;"'; "</f>
        <v xml:space="preserve"> update tapgfield set version_info='2.00',str_length='',system_yn='N',hidden_yn='N',display_yn ='Y'  ,check_yn='N',readonly_yn='N',ord_no='154',key_type='LABEL',key_no='vendor',site_type='DREAM',basic_key_type='LABEL',basic_key_no='vendor' ,upd_date= CONVERT(CHAR(8),GETDATE(),112)+REPLACE(CONVERT(CHAR(8),GETDATE(),108),':','') where page_id =  (select page_id from tapage where file_name='workPmiList')  and field_id = 'workPmiCommonDTO.filterVendorDesc'; </v>
      </c>
      <c r="AE7" t="s">
        <v>33</v>
      </c>
      <c r="AF7" s="14" t="str">
        <f t="shared" ref="AF7" si="24">X7&amp;" VALUES (sqapgfield_id.nextval, "&amp;W7&amp;", '"&amp;TRIM(D7)&amp;"', '"&amp;TRIM(E7)&amp;"', 'Y', '"&amp;TRIM(J7)&amp;"', 'N', '"&amp;TRIM(N7)&amp;"', '"&amp;TRIM(O7)&amp;"', '"&amp;TRIM(H7)&amp;"',   '"&amp;TRIM(I7)&amp;"',  '"&amp;TRIM(C7)&amp;"',  '"&amp;TRIM(I7)&amp;"',  '"&amp;TRIM(P7)&amp;"',  '"&amp;TRIM(Q7)&amp;"',  '"&amp;TRIM(N7)&amp;"',  '"&amp;TRIM(O7)&amp;"',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'workPmiCommonDTO.filterVendorDesc', '거래처', 'Y', '154', 'N', 'LABEL', 'vendor', 'N',   'N',  'workPmiList',  'N',  'DREAM',  '2.00',  'LABEL',  'vendor', to_char(sysdate,'yyyymmddhh24miss'), to_char(sysdate,'yyyymmddhh24miss'));</v>
      </c>
      <c r="AG7" s="15" t="str">
        <f t="shared" ref="AG7" si="25">X7&amp;" VALUES (next value for sqapgfield_id, "&amp;W7&amp;", '"&amp;TRIM(D7)&amp;"', '"&amp;TRIM(E7)&amp;"', 'Y', '"&amp;TRIM(J7)&amp;"', 'N', '"&amp;TRIM(N7)&amp;"', '"&amp;TRIM(O7)&amp;"', '"&amp;TRIM(H7)&amp;"',   '"&amp;TRIM(I7)&amp;"',  '"&amp;TRIM(C7)&amp;"',  '"&amp;TRIM(I7)&amp;"',  '"&amp;TRIM(P7)&amp;"',  '"&amp;TRIM(Q7)&amp;"',  '"&amp;TRIM(N7)&amp;"',  '"&amp;TRIM(O7)&amp;"',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'workPmiCommonDTO.filterVendorDesc', '거래처', 'Y', '154', 'N', 'LABEL', 'vendor', 'N',   'N',  'workPmiList',  'N',  'DREAM',  '2.00',  'LABEL',  'vendor', CONVERT(CHAR(8),GETDATE(),112)+REPLACE(CONVERT(CHAR(8),GETDATE(),108),':',''), CONVERT(CHAR(8),GETDATE(),112)+REPLACE(CONVERT(CHAR(8),GETDATE(),108),':',''));</v>
      </c>
      <c r="AH7" t="s">
        <v>33</v>
      </c>
      <c r="AI7" s="15" t="str">
        <f t="shared" ref="AI7" si="26">X7&amp;" VALUES (sqapgfield_id.nextval, "&amp;W7&amp;", '"&amp;TRIM(D7)&amp;"', '"&amp;TRIM(E7)&amp;"', 'N', '"&amp;TRIM(J7)&amp;"', 'Y', '"&amp;TRIM(N7)&amp;"', '"&amp;TRIM(O7)&amp;"', '"&amp;TRIM(H7)&amp;"',   '"&amp;TRIM(I7)&amp;"',  '"&amp;TRIM(C7)&amp;"',  '"&amp;TRIM(I7)&amp;"',  '"&amp;TRIM(P7)&amp;"',  '"&amp;TRIM(Q7)&amp;"',  '"&amp;TRIM(N7)&amp;"',  '"&amp;TRIM(O7)&amp;"',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'workPmiCommonDTO.filterVendorDesc', '거래처', 'N', '154', 'Y', 'LABEL', 'vendor', 'N',   'N',  'workPmiList',  'N',  'DREAM',  '2.00',  'LABEL',  'vendor', to_char(sysdate,'yyyymmddhh24miss'), to_char(sysdate,'yyyymmddhh24miss'));</v>
      </c>
      <c r="AJ7" s="15" t="str">
        <f t="shared" ref="AJ7" si="27">X7&amp;" VALUES (next value for sqapgfield_id, "&amp;W7&amp;", '"&amp;TRIM(D7)&amp;"', '"&amp;TRIM(E7)&amp;"', 'N', '"&amp;TRIM(J7)&amp;"', 'Y', '"&amp;TRIM(N7)&amp;"', '"&amp;TRIM(O7)&amp;"', '"&amp;TRIM(H7)&amp;"',   '"&amp;TRIM(I7)&amp;"',  '"&amp;TRIM(C7)&amp;"',  '"&amp;TRIM(I7)&amp;"',  '"&amp;TRIM(P7)&amp;"',  '"&amp;TRIM(Q7)&amp;"',  '"&amp;TRIM(N7)&amp;"',  '"&amp;TRIM(O7)&amp;"',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'workPmiCommonDTO.filterVendorDesc', '거래처', 'N', '154', 'Y', 'LABEL', 'vendor', 'N',   'N',  'workPmiList',  'N',  'DREAM',  '2.00',  'LABEL',  'vendor', CONVERT(CHAR(8),GETDATE(),112)+REPLACE(CONVERT(CHAR(8),GETDATE(),108),':',''), CONVERT(CHAR(8),GETDATE(),112)+REPLACE(CONVERT(CHAR(8),GETDATE(),108),':',''));</v>
      </c>
    </row>
    <row r="8" spans="1:36" s="15" customFormat="1" x14ac:dyDescent="0.3">
      <c r="A8" s="15">
        <v>7</v>
      </c>
      <c r="B8" s="14" t="s">
        <v>36</v>
      </c>
      <c r="C8" s="16" t="s">
        <v>42</v>
      </c>
      <c r="D8" s="16" t="s">
        <v>128</v>
      </c>
      <c r="E8" s="16" t="s">
        <v>127</v>
      </c>
      <c r="F8" s="16" t="s">
        <v>306</v>
      </c>
      <c r="G8" s="16" t="s">
        <v>38</v>
      </c>
      <c r="H8" s="16" t="s">
        <v>44</v>
      </c>
      <c r="I8" s="16" t="s">
        <v>44</v>
      </c>
      <c r="J8" s="16" t="s">
        <v>66</v>
      </c>
      <c r="M8" s="16" t="s">
        <v>44</v>
      </c>
      <c r="N8" s="16" t="s">
        <v>55</v>
      </c>
      <c r="O8" s="16" t="s">
        <v>129</v>
      </c>
      <c r="P8" s="16" t="s">
        <v>39</v>
      </c>
      <c r="Q8" s="17" t="s">
        <v>40</v>
      </c>
      <c r="W8" s="14" t="str">
        <f t="shared" si="10"/>
        <v xml:space="preserve"> (select page_id from tapage where file_name='workPmiList') </v>
      </c>
      <c r="X8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8" t="s">
        <v>33</v>
      </c>
      <c r="Z8" s="14" t="str">
        <f t="shared" si="11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'workPmiCommonDTO.filterUsageDeptDesc', '사용부서', 'N', '160', 'Y', 'LABEL', 'usedDept', 'N',   'N',  'workPmiList',  'N',  'DREAM',  '2.00',  'LABEL',  'usedDept', to_char(sysdate,'yyyymmddhh24miss'), to_char(sysdate,'yyyymmddhh24miss'));</v>
      </c>
      <c r="AA8" s="14" t="str">
        <f t="shared" si="12"/>
        <v xml:space="preserve"> update tapgfield set version_info='2.00',str_length='',system_yn='N',hidden_yn='N',display_yn ='Y'  ,check_yn='N',readonly_yn='N',ord_no='160',key_type='LABEL',key_no='usedDept',site_type='DREAM',basic_key_type='LABEL',basic_key_no='usedDept' ,upd_date= to_char(sysdate,'yyyymmddhh24miss') where page_id =  (select page_id from tapage where file_name='workPmiList')  and field_id = 'workPmiCommonDTO.filterUsageDeptDesc'; </v>
      </c>
      <c r="AB8" t="s">
        <v>33</v>
      </c>
      <c r="AC8" s="14" t="str">
        <f t="shared" si="13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'workPmiCommonDTO.filterUsageDeptDesc', '사용부서', 'N', '160', 'Y', 'LABEL', 'usedDept', 'N',   'N',  'workPmiList',  'N',  'DREAM',  '2.00',  'LABEL',  'usedDept', CONVERT(CHAR(8),GETDATE(),112)+REPLACE(CONVERT(CHAR(8),GETDATE(),108),':',''), CONVERT(CHAR(8),GETDATE(),112)+REPLACE(CONVERT(CHAR(8),GETDATE(),108),':',''));</v>
      </c>
      <c r="AD8" s="15" t="str">
        <f t="shared" si="14"/>
        <v xml:space="preserve"> update tapgfield set version_info='2.00',str_length='',system_yn='N',hidden_yn='N',display_yn ='Y'  ,check_yn='N',readonly_yn='N',ord_no='160',key_type='LABEL',key_no='usedDept',site_type='DREAM',basic_key_type='LABEL',basic_key_no='usedDept' ,upd_date= CONVERT(CHAR(8),GETDATE(),112)+REPLACE(CONVERT(CHAR(8),GETDATE(),108),':','') where page_id =  (select page_id from tapage where file_name='workPmiList')  and field_id = 'workPmiCommonDTO.filterUsageDeptDesc'; </v>
      </c>
      <c r="AE8" t="s">
        <v>33</v>
      </c>
      <c r="AF8" s="14" t="str">
        <f t="shared" si="1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'workPmiCommonDTO.filterUsageDeptDesc', '사용부서', 'Y', '160', 'N', 'LABEL', 'usedDept', 'N',   'N',  'workPmiList',  'N',  'DREAM',  '2.00',  'LABEL',  'usedDept', to_char(sysdate,'yyyymmddhh24miss'), to_char(sysdate,'yyyymmddhh24miss'));</v>
      </c>
      <c r="AG8" s="15" t="str">
        <f t="shared" si="1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'workPmiCommonDTO.filterUsageDeptDesc', '사용부서', 'Y', '160', 'N', 'LABEL', 'usedDept', 'N',   'N',  'workPmiList',  'N',  'DREAM',  '2.00',  'LABEL',  'usedDept', CONVERT(CHAR(8),GETDATE(),112)+REPLACE(CONVERT(CHAR(8),GETDATE(),108),':',''), CONVERT(CHAR(8),GETDATE(),112)+REPLACE(CONVERT(CHAR(8),GETDATE(),108),':',''));</v>
      </c>
      <c r="AH8" t="s">
        <v>33</v>
      </c>
      <c r="AI8" s="15" t="str">
        <f t="shared" si="17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'workPmiCommonDTO.filterUsageDeptDesc', '사용부서', 'N', '160', 'Y', 'LABEL', 'usedDept', 'N',   'N',  'workPmiList',  'N',  'DREAM',  '2.00',  'LABEL',  'usedDept', to_char(sysdate,'yyyymmddhh24miss'), to_char(sysdate,'yyyymmddhh24miss'));</v>
      </c>
      <c r="AJ8" s="15" t="str">
        <f t="shared" si="18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'workPmiCommonDTO.filterUsageDeptDesc', '사용부서', 'N', '160', 'Y', 'LABEL', 'usedDept', 'N',   'N',  'workPmiList',  'N',  'DREAM',  '2.00',  'LABEL',  'usedDept', CONVERT(CHAR(8),GETDATE(),112)+REPLACE(CONVERT(CHAR(8),GETDATE(),108),':',''), CONVERT(CHAR(8),GETDATE(),112)+REPLACE(CONVERT(CHAR(8),GETDATE(),108),':',''));</v>
      </c>
    </row>
    <row r="9" spans="1:36" s="15" customFormat="1" x14ac:dyDescent="0.3">
      <c r="A9" s="15">
        <v>8</v>
      </c>
      <c r="B9" s="14" t="s">
        <v>36</v>
      </c>
      <c r="C9" s="16" t="s">
        <v>42</v>
      </c>
      <c r="D9" s="16" t="s">
        <v>125</v>
      </c>
      <c r="E9" s="16" t="s">
        <v>124</v>
      </c>
      <c r="F9" s="16" t="s">
        <v>306</v>
      </c>
      <c r="G9" s="16" t="s">
        <v>38</v>
      </c>
      <c r="H9" s="16" t="s">
        <v>44</v>
      </c>
      <c r="I9" s="16" t="s">
        <v>44</v>
      </c>
      <c r="J9" s="16" t="s">
        <v>69</v>
      </c>
      <c r="M9" s="16" t="s">
        <v>44</v>
      </c>
      <c r="N9" s="16" t="s">
        <v>55</v>
      </c>
      <c r="O9" s="16" t="s">
        <v>126</v>
      </c>
      <c r="P9" s="16" t="s">
        <v>39</v>
      </c>
      <c r="Q9" s="17" t="s">
        <v>40</v>
      </c>
      <c r="W9" s="14" t="str">
        <f t="shared" si="10"/>
        <v xml:space="preserve"> (select page_id from tapage where file_name='workPmiList') </v>
      </c>
      <c r="X9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9" t="s">
        <v>33</v>
      </c>
      <c r="Z9" s="14" t="str">
        <f t="shared" si="11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'workPmiCommonDTO.filterPmSchedStatusDesc', '점검작업상태', 'N', '170', 'Y', 'LABEL', 'pmiSchedStatus', 'N',   'N',  'workPmiList',  'N',  'DREAM',  '2.00',  'LABEL',  'pmiSchedStatus', to_char(sysdate,'yyyymmddhh24miss'), to_char(sysdate,'yyyymmddhh24miss'));</v>
      </c>
      <c r="AA9" s="14" t="str">
        <f t="shared" si="12"/>
        <v xml:space="preserve"> update tapgfield set version_info='2.00',str_length='',system_yn='N',hidden_yn='N',display_yn ='Y'  ,check_yn='N',readonly_yn='N',ord_no='170',key_type='LABEL',key_no='pmiSchedStatus',site_type='DREAM',basic_key_type='LABEL',basic_key_no='pmiSchedStatus' ,upd_date= to_char(sysdate,'yyyymmddhh24miss') where page_id =  (select page_id from tapage where file_name='workPmiList')  and field_id = 'workPmiCommonDTO.filterPmSchedStatusDesc'; </v>
      </c>
      <c r="AB9" t="s">
        <v>33</v>
      </c>
      <c r="AC9" s="14" t="str">
        <f t="shared" si="13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'workPmiCommonDTO.filterPmSchedStatusDesc', '점검작업상태', 'N', '170', 'Y', 'LABEL', 'pmiSchedStatus', 'N',   'N',  'workPmiList',  'N',  'DREAM',  '2.00',  'LABEL',  'pmiSchedStatus', CONVERT(CHAR(8),GETDATE(),112)+REPLACE(CONVERT(CHAR(8),GETDATE(),108),':',''), CONVERT(CHAR(8),GETDATE(),112)+REPLACE(CONVERT(CHAR(8),GETDATE(),108),':',''));</v>
      </c>
      <c r="AD9" s="15" t="str">
        <f t="shared" si="14"/>
        <v xml:space="preserve"> update tapgfield set version_info='2.00',str_length='',system_yn='N',hidden_yn='N',display_yn ='Y'  ,check_yn='N',readonly_yn='N',ord_no='170',key_type='LABEL',key_no='pmiSchedStatus',site_type='DREAM',basic_key_type='LABEL',basic_key_no='pmiSchedStatus' ,upd_date= CONVERT(CHAR(8),GETDATE(),112)+REPLACE(CONVERT(CHAR(8),GETDATE(),108),':','') where page_id =  (select page_id from tapage where file_name='workPmiList')  and field_id = 'workPmiCommonDTO.filterPmSchedStatusDesc'; </v>
      </c>
      <c r="AE9" t="s">
        <v>33</v>
      </c>
      <c r="AF9" s="14" t="str">
        <f t="shared" si="1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'workPmiCommonDTO.filterPmSchedStatusDesc', '점검작업상태', 'Y', '170', 'N', 'LABEL', 'pmiSchedStatus', 'N',   'N',  'workPmiList',  'N',  'DREAM',  '2.00',  'LABEL',  'pmiSchedStatus', to_char(sysdate,'yyyymmddhh24miss'), to_char(sysdate,'yyyymmddhh24miss'));</v>
      </c>
      <c r="AG9" s="15" t="str">
        <f t="shared" si="1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'workPmiCommonDTO.filterPmSchedStatusDesc', '점검작업상태', 'Y', '170', 'N', 'LABEL', 'pmiSchedStatus', 'N',   'N',  'workPmiList',  'N',  'DREAM',  '2.00',  'LABEL',  'pmiSchedStatus', CONVERT(CHAR(8),GETDATE(),112)+REPLACE(CONVERT(CHAR(8),GETDATE(),108),':',''), CONVERT(CHAR(8),GETDATE(),112)+REPLACE(CONVERT(CHAR(8),GETDATE(),108),':',''));</v>
      </c>
      <c r="AH9" t="s">
        <v>33</v>
      </c>
      <c r="AI9" s="15" t="str">
        <f t="shared" si="17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'workPmiCommonDTO.filterPmSchedStatusDesc', '점검작업상태', 'N', '170', 'Y', 'LABEL', 'pmiSchedStatus', 'N',   'N',  'workPmiList',  'N',  'DREAM',  '2.00',  'LABEL',  'pmiSchedStatus', to_char(sysdate,'yyyymmddhh24miss'), to_char(sysdate,'yyyymmddhh24miss'));</v>
      </c>
      <c r="AJ9" s="15" t="str">
        <f t="shared" si="18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'workPmiCommonDTO.filterPmSchedStatusDesc', '점검작업상태', 'N', '170', 'Y', 'LABEL', 'pmiSchedStatus', 'N',   'N',  'workPmiList',  'N',  'DREAM',  '2.00',  'LABEL',  'pmiSchedStatus', CONVERT(CHAR(8),GETDATE(),112)+REPLACE(CONVERT(CHAR(8),GETDATE(),108),':',''), CONVERT(CHAR(8),GETDATE(),112)+REPLACE(CONVERT(CHAR(8),GETDATE(),108),':',''));</v>
      </c>
    </row>
    <row r="10" spans="1:36" s="15" customFormat="1" x14ac:dyDescent="0.3">
      <c r="A10" s="15">
        <v>9</v>
      </c>
      <c r="B10" s="14" t="s">
        <v>36</v>
      </c>
      <c r="C10" s="16" t="s">
        <v>42</v>
      </c>
      <c r="D10" s="16" t="s">
        <v>96</v>
      </c>
      <c r="E10" s="16" t="s">
        <v>95</v>
      </c>
      <c r="F10" s="16" t="s">
        <v>306</v>
      </c>
      <c r="G10" s="16" t="s">
        <v>38</v>
      </c>
      <c r="H10" s="16" t="s">
        <v>44</v>
      </c>
      <c r="I10" s="16" t="s">
        <v>44</v>
      </c>
      <c r="J10" s="16" t="s">
        <v>72</v>
      </c>
      <c r="M10" s="16" t="s">
        <v>44</v>
      </c>
      <c r="N10" s="16" t="s">
        <v>55</v>
      </c>
      <c r="O10" s="16" t="s">
        <v>97</v>
      </c>
      <c r="P10" s="16" t="s">
        <v>39</v>
      </c>
      <c r="Q10" s="17" t="s">
        <v>40</v>
      </c>
      <c r="W10" s="14" t="str">
        <f t="shared" si="0"/>
        <v xml:space="preserve"> (select page_id from tapage where file_name='workPmiList') </v>
      </c>
      <c r="X10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0" t="s">
        <v>33</v>
      </c>
      <c r="Z10" s="14" t="str">
        <f t="shared" si="2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'workPmiCommonDTO.filterPmNo', '예방작업번호', 'N', '180', 'Y', 'LABEL', 'pmNo', 'N',   'N',  'workPmiList',  'N',  'DREAM',  '2.00',  'LABEL',  'pmNo', to_char(sysdate,'yyyymmddhh24miss'), to_char(sysdate,'yyyymmddhh24miss'));</v>
      </c>
      <c r="AA10" s="14" t="str">
        <f t="shared" si="3"/>
        <v xml:space="preserve"> update tapgfield set version_info='2.00',str_length='',system_yn='N',hidden_yn='N',display_yn ='Y'  ,check_yn='N',readonly_yn='N',ord_no='180',key_type='LABEL',key_no='pmNo',site_type='DREAM',basic_key_type='LABEL',basic_key_no='pmNo' ,upd_date= to_char(sysdate,'yyyymmddhh24miss') where page_id =  (select page_id from tapage where file_name='workPmiList')  and field_id = 'workPmiCommonDTO.filterPmNo'; </v>
      </c>
      <c r="AB10" t="s">
        <v>33</v>
      </c>
      <c r="AC10" s="14" t="str">
        <f t="shared" si="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'workPmiCommonDTO.filterPmNo', '예방작업번호', 'N', '180', 'Y', 'LABEL', 'pmNo', 'N',   'N',  'workPmiList',  'N',  'DREAM',  '2.00',  'LABEL',  'pmNo', CONVERT(CHAR(8),GETDATE(),112)+REPLACE(CONVERT(CHAR(8),GETDATE(),108),':',''), CONVERT(CHAR(8),GETDATE(),112)+REPLACE(CONVERT(CHAR(8),GETDATE(),108),':',''));</v>
      </c>
      <c r="AD10" s="15" t="str">
        <f t="shared" si="5"/>
        <v xml:space="preserve"> update tapgfield set version_info='2.00',str_length='',system_yn='N',hidden_yn='N',display_yn ='Y'  ,check_yn='N',readonly_yn='N',ord_no='180',key_type='LABEL',key_no='pmNo',site_type='DREAM',basic_key_type='LABEL',basic_key_no='pmNo' ,upd_date= CONVERT(CHAR(8),GETDATE(),112)+REPLACE(CONVERT(CHAR(8),GETDATE(),108),':','') where page_id =  (select page_id from tapage where file_name='workPmiList')  and field_id = 'workPmiCommonDTO.filterPmNo'; </v>
      </c>
      <c r="AE10" t="s">
        <v>33</v>
      </c>
      <c r="AF10" s="14" t="str">
        <f t="shared" si="6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'workPmiCommonDTO.filterPmNo', '예방작업번호', 'Y', '180', 'N', 'LABEL', 'pmNo', 'N',   'N',  'workPmiList',  'N',  'DREAM',  '2.00',  'LABEL',  'pmNo', to_char(sysdate,'yyyymmddhh24miss'), to_char(sysdate,'yyyymmddhh24miss'));</v>
      </c>
      <c r="AG10" s="15" t="str">
        <f t="shared" si="7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'workPmiCommonDTO.filterPmNo', '예방작업번호', 'Y', '180', 'N', 'LABEL', 'pmNo', 'N',   'N',  'workPmiList',  'N',  'DREAM',  '2.00',  'LABEL',  'pmNo', CONVERT(CHAR(8),GETDATE(),112)+REPLACE(CONVERT(CHAR(8),GETDATE(),108),':',''), CONVERT(CHAR(8),GETDATE(),112)+REPLACE(CONVERT(CHAR(8),GETDATE(),108),':',''));</v>
      </c>
      <c r="AH10" t="s">
        <v>33</v>
      </c>
      <c r="AI10" s="15" t="str">
        <f t="shared" si="8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'workPmiCommonDTO.filterPmNo', '예방작업번호', 'N', '180', 'Y', 'LABEL', 'pmNo', 'N',   'N',  'workPmiList',  'N',  'DREAM',  '2.00',  'LABEL',  'pmNo', to_char(sysdate,'yyyymmddhh24miss'), to_char(sysdate,'yyyymmddhh24miss'));</v>
      </c>
      <c r="AJ10" s="15" t="str">
        <f t="shared" si="9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'workPmiCommonDTO.filterPmNo', '예방작업번호', 'N', '180', 'Y', 'LABEL', 'pmNo', 'N',   'N',  'workPmiList',  'N',  'DREAM',  '2.00',  'LABEL',  'pmNo', CONVERT(CHAR(8),GETDATE(),112)+REPLACE(CONVERT(CHAR(8),GETDATE(),108),':',''), CONVERT(CHAR(8),GETDATE(),112)+REPLACE(CONVERT(CHAR(8),GETDATE(),108),':',''));</v>
      </c>
    </row>
    <row r="11" spans="1:36" s="15" customFormat="1" x14ac:dyDescent="0.3">
      <c r="A11" s="15">
        <v>10</v>
      </c>
      <c r="B11" s="14" t="s">
        <v>36</v>
      </c>
      <c r="C11" s="16" t="s">
        <v>42</v>
      </c>
      <c r="D11" s="16" t="s">
        <v>101</v>
      </c>
      <c r="E11" s="16" t="s">
        <v>62</v>
      </c>
      <c r="F11" s="16" t="s">
        <v>306</v>
      </c>
      <c r="G11" s="16" t="s">
        <v>38</v>
      </c>
      <c r="H11" s="16" t="s">
        <v>44</v>
      </c>
      <c r="I11" s="16" t="s">
        <v>44</v>
      </c>
      <c r="J11" s="16" t="s">
        <v>74</v>
      </c>
      <c r="M11" s="16" t="s">
        <v>44</v>
      </c>
      <c r="N11" s="16" t="s">
        <v>55</v>
      </c>
      <c r="O11" s="16" t="s">
        <v>64</v>
      </c>
      <c r="P11" s="16" t="s">
        <v>39</v>
      </c>
      <c r="Q11" s="17" t="s">
        <v>40</v>
      </c>
      <c r="W11" s="14" t="str">
        <f t="shared" ref="W11:W16" si="28">" (select page_id from tapage where file_name='"&amp;C11&amp;"') "</f>
        <v xml:space="preserve"> (select page_id from tapage where file_name='workPmiList') </v>
      </c>
      <c r="X11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1" t="s">
        <v>33</v>
      </c>
      <c r="Z11" s="14" t="str">
        <f t="shared" ref="Z11:Z16" si="29">X11&amp;" VALUES (sqapgfield_id.nextval, "&amp;W11&amp;", '"&amp;TRIM(D11)&amp;"', '"&amp;TRIM(E11)&amp;"', '"&amp;TRIM(F11)&amp;"', '"&amp;TRIM(J11)&amp;"', '"&amp;TRIM(G11)&amp;"', '"&amp;TRIM(N11)&amp;"', '"&amp;TRIM(O11)&amp;"', '"&amp;TRIM(H11)&amp;"',   '"&amp;TRIM(I11)&amp;"',  '"&amp;TRIM(C11)&amp;"',  '"&amp;TRIM(I11)&amp;"',  '"&amp;TRIM(P11)&amp;"',  '"&amp;TRIM(Q11)&amp;"',  '"&amp;TRIM(N11)&amp;"',  '"&amp;TRIM(O11)&amp;"',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'workPmiCommonDTO.filterEquipDesc', '설비', 'N', '190', 'Y', 'LABEL', 'equipment', 'N',   'N',  'workPmiList',  'N',  'DREAM',  '2.00',  'LABEL',  'equipment', to_char(sysdate,'yyyymmddhh24miss'), to_char(sysdate,'yyyymmddhh24miss'));</v>
      </c>
      <c r="AA11" s="14" t="str">
        <f t="shared" ref="AA11:AA16" si="30">" update tapgfield set version_info='"&amp;Q11&amp;"',str_length='"&amp;K11&amp;"',system_yn='"&amp;M11&amp;"',hidden_yn='"&amp;F11&amp;"',display_yn ='"&amp;G11&amp;"'  ,check_yn='"&amp;H11&amp;"',readonly_yn='"&amp;I11&amp;"',ord_no='"&amp;J11&amp;"',key_type='"&amp;N11&amp;"',key_no='"&amp;O11&amp;"',site_type='"&amp;P11&amp;"',basic_key_type='"&amp;N11&amp;"',basic_key_no='"&amp;O11&amp;"' ,upd_date= to_char(sysdate,'yyyymmddhh24miss') where page_id = "&amp;W11&amp;" and field_id = '"&amp;D11&amp;"'; "</f>
        <v xml:space="preserve"> update tapgfield set version_info='2.00',str_length='',system_yn='N',hidden_yn='N',display_yn ='Y'  ,check_yn='N',readonly_yn='N',ord_no='190',key_type='LABEL',key_no='equipment',site_type='DREAM',basic_key_type='LABEL',basic_key_no='equipment' ,upd_date= to_char(sysdate,'yyyymmddhh24miss') where page_id =  (select page_id from tapage where file_name='workPmiList')  and field_id = 'workPmiCommonDTO.filterEquipDesc'; </v>
      </c>
      <c r="AB11" t="s">
        <v>33</v>
      </c>
      <c r="AC11" s="14" t="str">
        <f t="shared" ref="AC11:AC16" si="31">X11&amp;" VALUES (next value for sqapgfield_id, "&amp;W11&amp;", '"&amp;TRIM(D11)&amp;"', '"&amp;TRIM(E11)&amp;"', '"&amp;TRIM(F11)&amp;"', '"&amp;TRIM(J11)&amp;"', '"&amp;TRIM(G11)&amp;"', '"&amp;TRIM(N11)&amp;"', '"&amp;TRIM(O11)&amp;"', '"&amp;TRIM(H11)&amp;"',   '"&amp;TRIM(I11)&amp;"',  '"&amp;TRIM(C11)&amp;"',  '"&amp;TRIM(I11)&amp;"',  '"&amp;TRIM(P11)&amp;"',  '"&amp;TRIM(Q11)&amp;"',  '"&amp;TRIM(N11)&amp;"',  '"&amp;TRIM(O11)&amp;"',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'workPmiCommonDTO.filterEquipDesc', '설비', 'N', '190', 'Y', 'LABEL', 'equipment', 'N',   'N',  'workPmiList',  'N',  'DREAM',  '2.00',  'LABEL',  'equipment', CONVERT(CHAR(8),GETDATE(),112)+REPLACE(CONVERT(CHAR(8),GETDATE(),108),':',''), CONVERT(CHAR(8),GETDATE(),112)+REPLACE(CONVERT(CHAR(8),GETDATE(),108),':',''));</v>
      </c>
      <c r="AD11" s="15" t="str">
        <f t="shared" ref="AD11:AD16" si="32">" update tapgfield set version_info='"&amp;Q11&amp;"',str_length='"&amp;K11&amp;"',system_yn='"&amp;M11&amp;"',hidden_yn='"&amp;F11&amp;"',display_yn ='"&amp;G11&amp;"'  ,check_yn='"&amp;H11&amp;"',readonly_yn='"&amp;I11&amp;"',ord_no='"&amp;J11&amp;"',key_type='"&amp;N11&amp;"',key_no='"&amp;O11&amp;"',site_type='"&amp;P11&amp;"',basic_key_type='"&amp;N11&amp;"',basic_key_no='"&amp;O11&amp;"' ,upd_date= CONVERT(CHAR(8),GETDATE(),112)+REPLACE(CONVERT(CHAR(8),GETDATE(),108),':','') where page_id = "&amp;W11&amp;" and field_id = '"&amp;D11&amp;"'; "</f>
        <v xml:space="preserve"> update tapgfield set version_info='2.00',str_length='',system_yn='N',hidden_yn='N',display_yn ='Y'  ,check_yn='N',readonly_yn='N',ord_no='190',key_type='LABEL',key_no='equipment',site_type='DREAM',basic_key_type='LABEL',basic_key_no='equipment' ,upd_date= CONVERT(CHAR(8),GETDATE(),112)+REPLACE(CONVERT(CHAR(8),GETDATE(),108),':','') where page_id =  (select page_id from tapage where file_name='workPmiList')  and field_id = 'workPmiCommonDTO.filterEquipDesc'; </v>
      </c>
      <c r="AE11" t="s">
        <v>33</v>
      </c>
      <c r="AF11" s="14" t="str">
        <f t="shared" ref="AF11:AF16" si="33">X11&amp;" VALUES (sqapgfield_id.nextval, "&amp;W11&amp;", '"&amp;TRIM(D11)&amp;"', '"&amp;TRIM(E11)&amp;"', 'Y', '"&amp;TRIM(J11)&amp;"', 'N', '"&amp;TRIM(N11)&amp;"', '"&amp;TRIM(O11)&amp;"', '"&amp;TRIM(H11)&amp;"',   '"&amp;TRIM(I11)&amp;"',  '"&amp;TRIM(C11)&amp;"',  '"&amp;TRIM(I11)&amp;"',  '"&amp;TRIM(P11)&amp;"',  '"&amp;TRIM(Q11)&amp;"',  '"&amp;TRIM(N11)&amp;"',  '"&amp;TRIM(O11)&amp;"',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'workPmiCommonDTO.filterEquipDesc', '설비', 'Y', '190', 'N', 'LABEL', 'equipment', 'N',   'N',  'workPmiList',  'N',  'DREAM',  '2.00',  'LABEL',  'equipment', to_char(sysdate,'yyyymmddhh24miss'), to_char(sysdate,'yyyymmddhh24miss'));</v>
      </c>
      <c r="AG11" s="15" t="str">
        <f t="shared" ref="AG11:AG16" si="34">X11&amp;" VALUES (next value for sqapgfield_id, "&amp;W11&amp;", '"&amp;TRIM(D11)&amp;"', '"&amp;TRIM(E11)&amp;"', 'Y', '"&amp;TRIM(J11)&amp;"', 'N', '"&amp;TRIM(N11)&amp;"', '"&amp;TRIM(O11)&amp;"', '"&amp;TRIM(H11)&amp;"',   '"&amp;TRIM(I11)&amp;"',  '"&amp;TRIM(C11)&amp;"',  '"&amp;TRIM(I11)&amp;"',  '"&amp;TRIM(P11)&amp;"',  '"&amp;TRIM(Q11)&amp;"',  '"&amp;TRIM(N11)&amp;"',  '"&amp;TRIM(O11)&amp;"',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'workPmiCommonDTO.filterEquipDesc', '설비', 'Y', '190', 'N', 'LABEL', 'equipment', 'N',   'N',  'workPmiList',  'N',  'DREAM',  '2.00',  'LABEL',  'equipment', CONVERT(CHAR(8),GETDATE(),112)+REPLACE(CONVERT(CHAR(8),GETDATE(),108),':',''), CONVERT(CHAR(8),GETDATE(),112)+REPLACE(CONVERT(CHAR(8),GETDATE(),108),':',''));</v>
      </c>
      <c r="AH11" t="s">
        <v>33</v>
      </c>
      <c r="AI11" s="15" t="str">
        <f t="shared" ref="AI11:AI16" si="35">X11&amp;" VALUES (sqapgfield_id.nextval, "&amp;W11&amp;", '"&amp;TRIM(D11)&amp;"', '"&amp;TRIM(E11)&amp;"', 'N', '"&amp;TRIM(J11)&amp;"', 'Y', '"&amp;TRIM(N11)&amp;"', '"&amp;TRIM(O11)&amp;"', '"&amp;TRIM(H11)&amp;"',   '"&amp;TRIM(I11)&amp;"',  '"&amp;TRIM(C11)&amp;"',  '"&amp;TRIM(I11)&amp;"',  '"&amp;TRIM(P11)&amp;"',  '"&amp;TRIM(Q11)&amp;"',  '"&amp;TRIM(N11)&amp;"',  '"&amp;TRIM(O11)&amp;"',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'workPmiCommonDTO.filterEquipDesc', '설비', 'N', '190', 'Y', 'LABEL', 'equipment', 'N',   'N',  'workPmiList',  'N',  'DREAM',  '2.00',  'LABEL',  'equipment', to_char(sysdate,'yyyymmddhh24miss'), to_char(sysdate,'yyyymmddhh24miss'));</v>
      </c>
      <c r="AJ11" s="15" t="str">
        <f t="shared" ref="AJ11:AJ16" si="36">X11&amp;" VALUES (next value for sqapgfield_id, "&amp;W11&amp;", '"&amp;TRIM(D11)&amp;"', '"&amp;TRIM(E11)&amp;"', 'N', '"&amp;TRIM(J11)&amp;"', 'Y', '"&amp;TRIM(N11)&amp;"', '"&amp;TRIM(O11)&amp;"', '"&amp;TRIM(H11)&amp;"',   '"&amp;TRIM(I11)&amp;"',  '"&amp;TRIM(C11)&amp;"',  '"&amp;TRIM(I11)&amp;"',  '"&amp;TRIM(P11)&amp;"',  '"&amp;TRIM(Q11)&amp;"',  '"&amp;TRIM(N11)&amp;"',  '"&amp;TRIM(O11)&amp;"',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'workPmiCommonDTO.filterEquipDesc', '설비', 'N', '190', 'Y', 'LABEL', 'equipment', 'N',   'N',  'workPmiList',  'N',  'DREAM',  '2.00',  'LABEL',  'equipment', CONVERT(CHAR(8),GETDATE(),112)+REPLACE(CONVERT(CHAR(8),GETDATE(),108),':',''), CONVERT(CHAR(8),GETDATE(),112)+REPLACE(CONVERT(CHAR(8),GETDATE(),108),':',''));</v>
      </c>
    </row>
    <row r="12" spans="1:36" s="15" customFormat="1" x14ac:dyDescent="0.3">
      <c r="A12" s="15">
        <v>11</v>
      </c>
      <c r="B12" s="14" t="s">
        <v>36</v>
      </c>
      <c r="C12" s="16" t="s">
        <v>42</v>
      </c>
      <c r="D12" s="16" t="s">
        <v>102</v>
      </c>
      <c r="E12" s="16" t="s">
        <v>65</v>
      </c>
      <c r="F12" s="16" t="s">
        <v>306</v>
      </c>
      <c r="G12" s="16" t="s">
        <v>38</v>
      </c>
      <c r="H12" s="16" t="s">
        <v>44</v>
      </c>
      <c r="I12" s="16" t="s">
        <v>44</v>
      </c>
      <c r="J12" s="16" t="s">
        <v>78</v>
      </c>
      <c r="M12" s="16" t="s">
        <v>44</v>
      </c>
      <c r="N12" s="16" t="s">
        <v>55</v>
      </c>
      <c r="O12" s="16" t="s">
        <v>67</v>
      </c>
      <c r="P12" s="16" t="s">
        <v>39</v>
      </c>
      <c r="Q12" s="17" t="s">
        <v>40</v>
      </c>
      <c r="W12" s="14" t="str">
        <f t="shared" si="28"/>
        <v xml:space="preserve"> (select page_id from tapage where file_name='workPmiList') </v>
      </c>
      <c r="X12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2" t="s">
        <v>33</v>
      </c>
      <c r="Z12" s="14" t="str">
        <f t="shared" si="29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'workPmiCommonDTO.filterEqLocDesc', '설비위치', 'N', '200', 'Y', 'LABEL', 'location', 'N',   'N',  'workPmiList',  'N',  'DREAM',  '2.00',  'LABEL',  'location', to_char(sysdate,'yyyymmddhh24miss'), to_char(sysdate,'yyyymmddhh24miss'));</v>
      </c>
      <c r="AA12" s="14" t="str">
        <f t="shared" si="30"/>
        <v xml:space="preserve"> update tapgfield set version_info='2.00',str_length='',system_yn='N',hidden_yn='N',display_yn ='Y'  ,check_yn='N',readonly_yn='N',ord_no='200',key_type='LABEL',key_no='location',site_type='DREAM',basic_key_type='LABEL',basic_key_no='location' ,upd_date= to_char(sysdate,'yyyymmddhh24miss') where page_id =  (select page_id from tapage where file_name='workPmiList')  and field_id = 'workPmiCommonDTO.filterEqLocDesc'; </v>
      </c>
      <c r="AB12" t="s">
        <v>33</v>
      </c>
      <c r="AC12" s="14" t="str">
        <f t="shared" si="31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'workPmiCommonDTO.filterEqLocDesc', '설비위치', 'N', '200', 'Y', 'LABEL', 'location', 'N',   'N',  'workPmiList',  'N',  'DREAM',  '2.00',  'LABEL',  'location', CONVERT(CHAR(8),GETDATE(),112)+REPLACE(CONVERT(CHAR(8),GETDATE(),108),':',''), CONVERT(CHAR(8),GETDATE(),112)+REPLACE(CONVERT(CHAR(8),GETDATE(),108),':',''));</v>
      </c>
      <c r="AD12" s="15" t="str">
        <f t="shared" si="32"/>
        <v xml:space="preserve"> update tapgfield set version_info='2.00',str_length='',system_yn='N',hidden_yn='N',display_yn ='Y'  ,check_yn='N',readonly_yn='N',ord_no='200',key_type='LABEL',key_no='location',site_type='DREAM',basic_key_type='LABEL',basic_key_no='location' ,upd_date= CONVERT(CHAR(8),GETDATE(),112)+REPLACE(CONVERT(CHAR(8),GETDATE(),108),':','') where page_id =  (select page_id from tapage where file_name='workPmiList')  and field_id = 'workPmiCommonDTO.filterEqLocDesc'; </v>
      </c>
      <c r="AE12" t="s">
        <v>33</v>
      </c>
      <c r="AF12" s="14" t="str">
        <f t="shared" si="33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'workPmiCommonDTO.filterEqLocDesc', '설비위치', 'Y', '200', 'N', 'LABEL', 'location', 'N',   'N',  'workPmiList',  'N',  'DREAM',  '2.00',  'LABEL',  'location', to_char(sysdate,'yyyymmddhh24miss'), to_char(sysdate,'yyyymmddhh24miss'));</v>
      </c>
      <c r="AG12" s="15" t="str">
        <f t="shared" si="3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'workPmiCommonDTO.filterEqLocDesc', '설비위치', 'Y', '200', 'N', 'LABEL', 'location', 'N',   'N',  'workPmiList',  'N',  'DREAM',  '2.00',  'LABEL',  'location', CONVERT(CHAR(8),GETDATE(),112)+REPLACE(CONVERT(CHAR(8),GETDATE(),108),':',''), CONVERT(CHAR(8),GETDATE(),112)+REPLACE(CONVERT(CHAR(8),GETDATE(),108),':',''));</v>
      </c>
      <c r="AH12" t="s">
        <v>33</v>
      </c>
      <c r="AI12" s="15" t="str">
        <f t="shared" si="3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'workPmiCommonDTO.filterEqLocDesc', '설비위치', 'N', '200', 'Y', 'LABEL', 'location', 'N',   'N',  'workPmiList',  'N',  'DREAM',  '2.00',  'LABEL',  'location', to_char(sysdate,'yyyymmddhh24miss'), to_char(sysdate,'yyyymmddhh24miss'));</v>
      </c>
      <c r="AJ12" s="15" t="str">
        <f t="shared" si="3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'workPmiCommonDTO.filterEqLocDesc', '설비위치', 'N', '200', 'Y', 'LABEL', 'location', 'N',   'N',  'workPmiList',  'N',  'DREAM',  '2.00',  'LABEL',  'location', CONVERT(CHAR(8),GETDATE(),112)+REPLACE(CONVERT(CHAR(8),GETDATE(),108),':',''), CONVERT(CHAR(8),GETDATE(),112)+REPLACE(CONVERT(CHAR(8),GETDATE(),108),':',''));</v>
      </c>
    </row>
    <row r="13" spans="1:36" s="15" customFormat="1" x14ac:dyDescent="0.3">
      <c r="A13" s="15">
        <v>12</v>
      </c>
      <c r="B13" s="14" t="s">
        <v>36</v>
      </c>
      <c r="C13" s="16" t="s">
        <v>42</v>
      </c>
      <c r="D13" s="16" t="s">
        <v>104</v>
      </c>
      <c r="E13" s="16" t="s">
        <v>103</v>
      </c>
      <c r="F13" s="16" t="s">
        <v>306</v>
      </c>
      <c r="G13" s="16" t="s">
        <v>38</v>
      </c>
      <c r="H13" s="16" t="s">
        <v>44</v>
      </c>
      <c r="I13" s="16" t="s">
        <v>44</v>
      </c>
      <c r="J13" s="16" t="s">
        <v>76</v>
      </c>
      <c r="M13" s="16" t="s">
        <v>44</v>
      </c>
      <c r="N13" s="15" t="s">
        <v>55</v>
      </c>
      <c r="O13" s="15" t="s">
        <v>105</v>
      </c>
      <c r="P13" s="16" t="s">
        <v>39</v>
      </c>
      <c r="Q13" s="17" t="s">
        <v>40</v>
      </c>
      <c r="W13" s="14" t="str">
        <f t="shared" si="28"/>
        <v xml:space="preserve"> (select page_id from tapage where file_name='workPmiList') </v>
      </c>
      <c r="X13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3" t="s">
        <v>33</v>
      </c>
      <c r="Z13" s="14" t="str">
        <f t="shared" si="29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'workPmiCommonDTO.filterEqCtgDesc', '설비종류', 'N', '210', 'Y', 'LABEL', 'eqCtg', 'N',   'N',  'workPmiList',  'N',  'DREAM',  '2.00',  'LABEL',  'eqCtg', to_char(sysdate,'yyyymmddhh24miss'), to_char(sysdate,'yyyymmddhh24miss'));</v>
      </c>
      <c r="AA13" s="14" t="str">
        <f t="shared" si="30"/>
        <v xml:space="preserve"> update tapgfield set version_info='2.00',str_length='',system_yn='N',hidden_yn='N',display_yn ='Y'  ,check_yn='N',readonly_yn='N',ord_no='210',key_type='LABEL',key_no='eqCtg',site_type='DREAM',basic_key_type='LABEL',basic_key_no='eqCtg' ,upd_date= to_char(sysdate,'yyyymmddhh24miss') where page_id =  (select page_id from tapage where file_name='workPmiList')  and field_id = 'workPmiCommonDTO.filterEqCtgDesc'; </v>
      </c>
      <c r="AB13" t="s">
        <v>33</v>
      </c>
      <c r="AC13" s="14" t="str">
        <f t="shared" si="31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'workPmiCommonDTO.filterEqCtgDesc', '설비종류', 'N', '210', 'Y', 'LABEL', 'eqCtg', 'N',   'N',  'workPmiList',  'N',  'DREAM',  '2.00',  'LABEL',  'eqCtg', CONVERT(CHAR(8),GETDATE(),112)+REPLACE(CONVERT(CHAR(8),GETDATE(),108),':',''), CONVERT(CHAR(8),GETDATE(),112)+REPLACE(CONVERT(CHAR(8),GETDATE(),108),':',''));</v>
      </c>
      <c r="AD13" s="15" t="str">
        <f t="shared" si="32"/>
        <v xml:space="preserve"> update tapgfield set version_info='2.00',str_length='',system_yn='N',hidden_yn='N',display_yn ='Y'  ,check_yn='N',readonly_yn='N',ord_no='210',key_type='LABEL',key_no='eqCtg',site_type='DREAM',basic_key_type='LABEL',basic_key_no='eqCtg' ,upd_date= CONVERT(CHAR(8),GETDATE(),112)+REPLACE(CONVERT(CHAR(8),GETDATE(),108),':','') where page_id =  (select page_id from tapage where file_name='workPmiList')  and field_id = 'workPmiCommonDTO.filterEqCtgDesc'; </v>
      </c>
      <c r="AE13" t="s">
        <v>33</v>
      </c>
      <c r="AF13" s="14" t="str">
        <f t="shared" si="33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'workPmiCommonDTO.filterEqCtgDesc', '설비종류', 'Y', '210', 'N', 'LABEL', 'eqCtg', 'N',   'N',  'workPmiList',  'N',  'DREAM',  '2.00',  'LABEL',  'eqCtg', to_char(sysdate,'yyyymmddhh24miss'), to_char(sysdate,'yyyymmddhh24miss'));</v>
      </c>
      <c r="AG13" s="15" t="str">
        <f t="shared" si="3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'workPmiCommonDTO.filterEqCtgDesc', '설비종류', 'Y', '210', 'N', 'LABEL', 'eqCtg', 'N',   'N',  'workPmiList',  'N',  'DREAM',  '2.00',  'LABEL',  'eqCtg', CONVERT(CHAR(8),GETDATE(),112)+REPLACE(CONVERT(CHAR(8),GETDATE(),108),':',''), CONVERT(CHAR(8),GETDATE(),112)+REPLACE(CONVERT(CHAR(8),GETDATE(),108),':',''));</v>
      </c>
      <c r="AH13" t="s">
        <v>33</v>
      </c>
      <c r="AI13" s="15" t="str">
        <f t="shared" si="3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'workPmiCommonDTO.filterEqCtgDesc', '설비종류', 'N', '210', 'Y', 'LABEL', 'eqCtg', 'N',   'N',  'workPmiList',  'N',  'DREAM',  '2.00',  'LABEL',  'eqCtg', to_char(sysdate,'yyyymmddhh24miss'), to_char(sysdate,'yyyymmddhh24miss'));</v>
      </c>
      <c r="AJ13" s="15" t="str">
        <f t="shared" si="3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'workPmiCommonDTO.filterEqCtgDesc', '설비종류', 'N', '210', 'Y', 'LABEL', 'eqCtg', 'N',   'N',  'workPmiList',  'N',  'DREAM',  '2.00',  'LABEL',  'eqCtg', CONVERT(CHAR(8),GETDATE(),112)+REPLACE(CONVERT(CHAR(8),GETDATE(),108),':',''), CONVERT(CHAR(8),GETDATE(),112)+REPLACE(CONVERT(CHAR(8),GETDATE(),108),':',''));</v>
      </c>
    </row>
    <row r="14" spans="1:36" s="15" customFormat="1" x14ac:dyDescent="0.3">
      <c r="A14" s="15">
        <v>13</v>
      </c>
      <c r="B14" s="14" t="s">
        <v>36</v>
      </c>
      <c r="C14" s="16" t="s">
        <v>42</v>
      </c>
      <c r="D14" s="16" t="s">
        <v>107</v>
      </c>
      <c r="E14" s="16" t="s">
        <v>106</v>
      </c>
      <c r="F14" s="16" t="s">
        <v>306</v>
      </c>
      <c r="G14" s="16" t="s">
        <v>38</v>
      </c>
      <c r="H14" s="16" t="s">
        <v>44</v>
      </c>
      <c r="I14" s="16" t="s">
        <v>44</v>
      </c>
      <c r="J14" s="16" t="s">
        <v>82</v>
      </c>
      <c r="M14" s="16" t="s">
        <v>44</v>
      </c>
      <c r="N14" s="16" t="s">
        <v>55</v>
      </c>
      <c r="O14" s="16" t="s">
        <v>108</v>
      </c>
      <c r="P14" s="16" t="s">
        <v>39</v>
      </c>
      <c r="Q14" s="17" t="s">
        <v>40</v>
      </c>
      <c r="W14" s="14" t="str">
        <f t="shared" si="28"/>
        <v xml:space="preserve"> (select page_id from tapage where file_name='workPmiList') </v>
      </c>
      <c r="X14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4" t="s">
        <v>33</v>
      </c>
      <c r="Z14" s="14" t="str">
        <f t="shared" si="29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'workPmiCommonDTO.filterIsLawEq', '법정설비여부', 'N', '220', 'Y', 'LABEL', 'isLawEq', 'N',   'N',  'workPmiList',  'N',  'DREAM',  '2.00',  'LABEL',  'isLawEq', to_char(sysdate,'yyyymmddhh24miss'), to_char(sysdate,'yyyymmddhh24miss'));</v>
      </c>
      <c r="AA14" s="14" t="str">
        <f t="shared" si="30"/>
        <v xml:space="preserve"> update tapgfield set version_info='2.00',str_length='',system_yn='N',hidden_yn='N',display_yn ='Y'  ,check_yn='N',readonly_yn='N',ord_no='220',key_type='LABEL',key_no='isLawEq',site_type='DREAM',basic_key_type='LABEL',basic_key_no='isLawEq' ,upd_date= to_char(sysdate,'yyyymmddhh24miss') where page_id =  (select page_id from tapage where file_name='workPmiList')  and field_id = 'workPmiCommonDTO.filterIsLawEq'; </v>
      </c>
      <c r="AB14" t="s">
        <v>33</v>
      </c>
      <c r="AC14" s="14" t="str">
        <f t="shared" si="31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'workPmiCommonDTO.filterIsLawEq', '법정설비여부', 'N', '220', 'Y', 'LABEL', 'isLawEq', 'N',   'N',  'workPmiList',  'N',  'DREAM',  '2.00',  'LABEL',  'isLawEq', CONVERT(CHAR(8),GETDATE(),112)+REPLACE(CONVERT(CHAR(8),GETDATE(),108),':',''), CONVERT(CHAR(8),GETDATE(),112)+REPLACE(CONVERT(CHAR(8),GETDATE(),108),':',''));</v>
      </c>
      <c r="AD14" s="15" t="str">
        <f t="shared" si="32"/>
        <v xml:space="preserve"> update tapgfield set version_info='2.00',str_length='',system_yn='N',hidden_yn='N',display_yn ='Y'  ,check_yn='N',readonly_yn='N',ord_no='220',key_type='LABEL',key_no='isLawEq',site_type='DREAM',basic_key_type='LABEL',basic_key_no='isLawEq' ,upd_date= CONVERT(CHAR(8),GETDATE(),112)+REPLACE(CONVERT(CHAR(8),GETDATE(),108),':','') where page_id =  (select page_id from tapage where file_name='workPmiList')  and field_id = 'workPmiCommonDTO.filterIsLawEq'; </v>
      </c>
      <c r="AE14" t="s">
        <v>33</v>
      </c>
      <c r="AF14" s="14" t="str">
        <f t="shared" si="33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'workPmiCommonDTO.filterIsLawEq', '법정설비여부', 'Y', '220', 'N', 'LABEL', 'isLawEq', 'N',   'N',  'workPmiList',  'N',  'DREAM',  '2.00',  'LABEL',  'isLawEq', to_char(sysdate,'yyyymmddhh24miss'), to_char(sysdate,'yyyymmddhh24miss'));</v>
      </c>
      <c r="AG14" s="15" t="str">
        <f t="shared" si="3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'workPmiCommonDTO.filterIsLawEq', '법정설비여부', 'Y', '220', 'N', 'LABEL', 'isLawEq', 'N',   'N',  'workPmiList',  'N',  'DREAM',  '2.00',  'LABEL',  'isLawEq', CONVERT(CHAR(8),GETDATE(),112)+REPLACE(CONVERT(CHAR(8),GETDATE(),108),':',''), CONVERT(CHAR(8),GETDATE(),112)+REPLACE(CONVERT(CHAR(8),GETDATE(),108),':',''));</v>
      </c>
      <c r="AH14" t="s">
        <v>33</v>
      </c>
      <c r="AI14" s="15" t="str">
        <f t="shared" si="3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'workPmiCommonDTO.filterIsLawEq', '법정설비여부', 'N', '220', 'Y', 'LABEL', 'isLawEq', 'N',   'N',  'workPmiList',  'N',  'DREAM',  '2.00',  'LABEL',  'isLawEq', to_char(sysdate,'yyyymmddhh24miss'), to_char(sysdate,'yyyymmddhh24miss'));</v>
      </c>
      <c r="AJ14" s="15" t="str">
        <f t="shared" si="3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'workPmiCommonDTO.filterIsLawEq', '법정설비여부', 'N', '220', 'Y', 'LABEL', 'isLawEq', 'N',   'N',  'workPmiList',  'N',  'DREAM',  '2.00',  'LABEL',  'isLawEq', CONVERT(CHAR(8),GETDATE(),112)+REPLACE(CONVERT(CHAR(8),GETDATE(),108),':',''), CONVERT(CHAR(8),GETDATE(),112)+REPLACE(CONVERT(CHAR(8),GETDATE(),108),':',''));</v>
      </c>
    </row>
    <row r="15" spans="1:36" s="15" customFormat="1" x14ac:dyDescent="0.3">
      <c r="A15" s="15">
        <v>14</v>
      </c>
      <c r="B15" s="14" t="s">
        <v>36</v>
      </c>
      <c r="C15" s="16" t="s">
        <v>42</v>
      </c>
      <c r="D15" s="16" t="s">
        <v>110</v>
      </c>
      <c r="E15" s="16" t="s">
        <v>109</v>
      </c>
      <c r="F15" s="16" t="s">
        <v>306</v>
      </c>
      <c r="G15" s="16" t="s">
        <v>38</v>
      </c>
      <c r="H15" s="16" t="s">
        <v>44</v>
      </c>
      <c r="I15" s="16" t="s">
        <v>44</v>
      </c>
      <c r="J15" s="16" t="s">
        <v>80</v>
      </c>
      <c r="M15" s="16" t="s">
        <v>44</v>
      </c>
      <c r="N15" s="16" t="s">
        <v>55</v>
      </c>
      <c r="O15" s="16" t="s">
        <v>111</v>
      </c>
      <c r="P15" s="16" t="s">
        <v>39</v>
      </c>
      <c r="Q15" s="17" t="s">
        <v>40</v>
      </c>
      <c r="W15" s="14" t="str">
        <f t="shared" si="28"/>
        <v xml:space="preserve"> (select page_id from tapage where file_name='workPmiList') </v>
      </c>
      <c r="X15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5" t="s">
        <v>33</v>
      </c>
      <c r="Z15" s="14" t="str">
        <f t="shared" si="29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'workPmiCommonDTO.filterMainMngName', '관리자(정)', 'N', '230', 'Y', 'LABEL', 'mainManager', 'N',   'N',  'workPmiList',  'N',  'DREAM',  '2.00',  'LABEL',  'mainManager', to_char(sysdate,'yyyymmddhh24miss'), to_char(sysdate,'yyyymmddhh24miss'));</v>
      </c>
      <c r="AA15" s="14" t="str">
        <f t="shared" si="30"/>
        <v xml:space="preserve"> update tapgfield set version_info='2.00',str_length='',system_yn='N',hidden_yn='N',display_yn ='Y'  ,check_yn='N',readonly_yn='N',ord_no='230',key_type='LABEL',key_no='mainManager',site_type='DREAM',basic_key_type='LABEL',basic_key_no='mainManager' ,upd_date= to_char(sysdate,'yyyymmddhh24miss') where page_id =  (select page_id from tapage where file_name='workPmiList')  and field_id = 'workPmiCommonDTO.filterMainMngName'; </v>
      </c>
      <c r="AB15" t="s">
        <v>33</v>
      </c>
      <c r="AC15" s="14" t="str">
        <f t="shared" si="31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'workPmiCommonDTO.filterMainMngName', '관리자(정)', 'N', '230', 'Y', 'LABEL', 'mainManager', 'N',   'N',  'workPmiList',  'N',  'DREAM',  '2.00',  'LABEL',  'mainManager', CONVERT(CHAR(8),GETDATE(),112)+REPLACE(CONVERT(CHAR(8),GETDATE(),108),':',''), CONVERT(CHAR(8),GETDATE(),112)+REPLACE(CONVERT(CHAR(8),GETDATE(),108),':',''));</v>
      </c>
      <c r="AD15" s="15" t="str">
        <f t="shared" si="32"/>
        <v xml:space="preserve"> update tapgfield set version_info='2.00',str_length='',system_yn='N',hidden_yn='N',display_yn ='Y'  ,check_yn='N',readonly_yn='N',ord_no='230',key_type='LABEL',key_no='mainManager',site_type='DREAM',basic_key_type='LABEL',basic_key_no='mainManager' ,upd_date= CONVERT(CHAR(8),GETDATE(),112)+REPLACE(CONVERT(CHAR(8),GETDATE(),108),':','') where page_id =  (select page_id from tapage where file_name='workPmiList')  and field_id = 'workPmiCommonDTO.filterMainMngName'; </v>
      </c>
      <c r="AE15" t="s">
        <v>33</v>
      </c>
      <c r="AF15" s="14" t="str">
        <f t="shared" si="33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'workPmiCommonDTO.filterMainMngName', '관리자(정)', 'Y', '230', 'N', 'LABEL', 'mainManager', 'N',   'N',  'workPmiList',  'N',  'DREAM',  '2.00',  'LABEL',  'mainManager', to_char(sysdate,'yyyymmddhh24miss'), to_char(sysdate,'yyyymmddhh24miss'));</v>
      </c>
      <c r="AG15" s="15" t="str">
        <f t="shared" si="3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'workPmiCommonDTO.filterMainMngName', '관리자(정)', 'Y', '230', 'N', 'LABEL', 'mainManager', 'N',   'N',  'workPmiList',  'N',  'DREAM',  '2.00',  'LABEL',  'mainManager', CONVERT(CHAR(8),GETDATE(),112)+REPLACE(CONVERT(CHAR(8),GETDATE(),108),':',''), CONVERT(CHAR(8),GETDATE(),112)+REPLACE(CONVERT(CHAR(8),GETDATE(),108),':',''));</v>
      </c>
      <c r="AH15" t="s">
        <v>33</v>
      </c>
      <c r="AI15" s="15" t="str">
        <f t="shared" si="3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'workPmiCommonDTO.filterMainMngName', '관리자(정)', 'N', '230', 'Y', 'LABEL', 'mainManager', 'N',   'N',  'workPmiList',  'N',  'DREAM',  '2.00',  'LABEL',  'mainManager', to_char(sysdate,'yyyymmddhh24miss'), to_char(sysdate,'yyyymmddhh24miss'));</v>
      </c>
      <c r="AJ15" s="15" t="str">
        <f t="shared" si="3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'workPmiCommonDTO.filterMainMngName', '관리자(정)', 'N', '230', 'Y', 'LABEL', 'mainManager', 'N',   'N',  'workPmiList',  'N',  'DREAM',  '2.00',  'LABEL',  'mainManager', CONVERT(CHAR(8),GETDATE(),112)+REPLACE(CONVERT(CHAR(8),GETDATE(),108),':',''), CONVERT(CHAR(8),GETDATE(),112)+REPLACE(CONVERT(CHAR(8),GETDATE(),108),':',''));</v>
      </c>
    </row>
    <row r="16" spans="1:36" s="15" customFormat="1" x14ac:dyDescent="0.3">
      <c r="A16" s="15">
        <v>15</v>
      </c>
      <c r="B16" s="14" t="s">
        <v>36</v>
      </c>
      <c r="C16" s="16" t="s">
        <v>42</v>
      </c>
      <c r="D16" s="16" t="s">
        <v>113</v>
      </c>
      <c r="E16" s="16" t="s">
        <v>112</v>
      </c>
      <c r="F16" s="16" t="s">
        <v>306</v>
      </c>
      <c r="G16" s="16" t="s">
        <v>38</v>
      </c>
      <c r="H16" s="16" t="s">
        <v>44</v>
      </c>
      <c r="I16" s="16" t="s">
        <v>44</v>
      </c>
      <c r="J16" s="16" t="s">
        <v>84</v>
      </c>
      <c r="M16" s="16" t="s">
        <v>44</v>
      </c>
      <c r="N16" s="16" t="s">
        <v>55</v>
      </c>
      <c r="O16" s="16" t="s">
        <v>114</v>
      </c>
      <c r="P16" s="16" t="s">
        <v>39</v>
      </c>
      <c r="Q16" s="17" t="s">
        <v>40</v>
      </c>
      <c r="W16" s="14" t="str">
        <f t="shared" si="28"/>
        <v xml:space="preserve"> (select page_id from tapage where file_name='workPmiList') </v>
      </c>
      <c r="X16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6" t="s">
        <v>33</v>
      </c>
      <c r="Z16" s="14" t="str">
        <f t="shared" si="29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'workPmiCommonDTO.filterSubMngName', '관리자(부)', 'N', '240', 'Y', 'LABEL', 'subManager', 'N',   'N',  'workPmiList',  'N',  'DREAM',  '2.00',  'LABEL',  'subManager', to_char(sysdate,'yyyymmddhh24miss'), to_char(sysdate,'yyyymmddhh24miss'));</v>
      </c>
      <c r="AA16" s="14" t="str">
        <f t="shared" si="30"/>
        <v xml:space="preserve"> update tapgfield set version_info='2.00',str_length='',system_yn='N',hidden_yn='N',display_yn ='Y'  ,check_yn='N',readonly_yn='N',ord_no='240',key_type='LABEL',key_no='subManager',site_type='DREAM',basic_key_type='LABEL',basic_key_no='subManager' ,upd_date= to_char(sysdate,'yyyymmddhh24miss') where page_id =  (select page_id from tapage where file_name='workPmiList')  and field_id = 'workPmiCommonDTO.filterSubMngName'; </v>
      </c>
      <c r="AB16" t="s">
        <v>33</v>
      </c>
      <c r="AC16" s="14" t="str">
        <f t="shared" si="31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'workPmiCommonDTO.filterSubMngName', '관리자(부)', 'N', '240', 'Y', 'LABEL', 'subManager', 'N',   'N',  'workPmiList',  'N',  'DREAM',  '2.00',  'LABEL',  'subManager', CONVERT(CHAR(8),GETDATE(),112)+REPLACE(CONVERT(CHAR(8),GETDATE(),108),':',''), CONVERT(CHAR(8),GETDATE(),112)+REPLACE(CONVERT(CHAR(8),GETDATE(),108),':',''));</v>
      </c>
      <c r="AD16" s="15" t="str">
        <f t="shared" si="32"/>
        <v xml:space="preserve"> update tapgfield set version_info='2.00',str_length='',system_yn='N',hidden_yn='N',display_yn ='Y'  ,check_yn='N',readonly_yn='N',ord_no='240',key_type='LABEL',key_no='subManager',site_type='DREAM',basic_key_type='LABEL',basic_key_no='subManager' ,upd_date= CONVERT(CHAR(8),GETDATE(),112)+REPLACE(CONVERT(CHAR(8),GETDATE(),108),':','') where page_id =  (select page_id from tapage where file_name='workPmiList')  and field_id = 'workPmiCommonDTO.filterSubMngName'; </v>
      </c>
      <c r="AE16" t="s">
        <v>33</v>
      </c>
      <c r="AF16" s="14" t="str">
        <f t="shared" si="33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'workPmiCommonDTO.filterSubMngName', '관리자(부)', 'Y', '240', 'N', 'LABEL', 'subManager', 'N',   'N',  'workPmiList',  'N',  'DREAM',  '2.00',  'LABEL',  'subManager', to_char(sysdate,'yyyymmddhh24miss'), to_char(sysdate,'yyyymmddhh24miss'));</v>
      </c>
      <c r="AG16" s="15" t="str">
        <f t="shared" si="3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'workPmiCommonDTO.filterSubMngName', '관리자(부)', 'Y', '240', 'N', 'LABEL', 'subManager', 'N',   'N',  'workPmiList',  'N',  'DREAM',  '2.00',  'LABEL',  'subManager', CONVERT(CHAR(8),GETDATE(),112)+REPLACE(CONVERT(CHAR(8),GETDATE(),108),':',''), CONVERT(CHAR(8),GETDATE(),112)+REPLACE(CONVERT(CHAR(8),GETDATE(),108),':',''));</v>
      </c>
      <c r="AH16" t="s">
        <v>33</v>
      </c>
      <c r="AI16" s="15" t="str">
        <f t="shared" si="35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'workPmiCommonDTO.filterSubMngName', '관리자(부)', 'N', '240', 'Y', 'LABEL', 'subManager', 'N',   'N',  'workPmiList',  'N',  'DREAM',  '2.00',  'LABEL',  'subManager', to_char(sysdate,'yyyymmddhh24miss'), to_char(sysdate,'yyyymmddhh24miss'));</v>
      </c>
      <c r="AJ16" s="15" t="str">
        <f t="shared" si="36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'workPmiCommonDTO.filterSubMngName', '관리자(부)', 'N', '240', 'Y', 'LABEL', 'subManager', 'N',   'N',  'workPmiList',  'N',  'DREAM',  '2.00',  'LABEL',  'subManager', CONVERT(CHAR(8),GETDATE(),112)+REPLACE(CONVERT(CHAR(8),GETDATE(),108),':',''), CONVERT(CHAR(8),GETDATE(),112)+REPLACE(CONVERT(CHAR(8),GETDATE(),108),':',''));</v>
      </c>
    </row>
    <row r="17" spans="1:36" s="15" customFormat="1" x14ac:dyDescent="0.3">
      <c r="A17" s="15">
        <v>16</v>
      </c>
      <c r="B17" s="14" t="s">
        <v>36</v>
      </c>
      <c r="C17" s="16" t="s">
        <v>42</v>
      </c>
      <c r="D17" s="16" t="s">
        <v>115</v>
      </c>
      <c r="E17" s="16" t="s">
        <v>56</v>
      </c>
      <c r="F17" s="16" t="s">
        <v>38</v>
      </c>
      <c r="G17" s="16" t="s">
        <v>306</v>
      </c>
      <c r="H17" s="16" t="s">
        <v>44</v>
      </c>
      <c r="I17" s="16" t="s">
        <v>44</v>
      </c>
      <c r="J17" s="16" t="s">
        <v>87</v>
      </c>
      <c r="M17" s="16" t="s">
        <v>44</v>
      </c>
      <c r="N17" s="16" t="s">
        <v>55</v>
      </c>
      <c r="O17" s="16" t="s">
        <v>58</v>
      </c>
      <c r="P17" s="16" t="s">
        <v>304</v>
      </c>
      <c r="Q17" s="36" t="s">
        <v>305</v>
      </c>
      <c r="W17" s="14" t="str">
        <f t="shared" si="0"/>
        <v xml:space="preserve"> (select page_id from tapage where file_name='workPmiList') </v>
      </c>
      <c r="X17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7" t="s">
        <v>33</v>
      </c>
      <c r="Z17" s="14" t="str">
        <f t="shared" si="2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'workPmiCommonDTO.filterWoTypeDesc', '작업종류', 'Y', '250', 'N', 'LABEL', 'woTypeDesc', 'N',   'N',  'workPmiList',  'N',  'TBD',  '1.00',  'LABEL',  'woTypeDesc', to_char(sysdate,'yyyymmddhh24miss'), to_char(sysdate,'yyyymmddhh24miss'));</v>
      </c>
      <c r="AA17" s="14" t="str">
        <f t="shared" si="3"/>
        <v xml:space="preserve"> update tapgfield set version_info='1.00',str_length='',system_yn='N',hidden_yn='Y',display_yn ='N'  ,check_yn='N',readonly_yn='N',ord_no='250',key_type='LABEL',key_no='woTypeDesc',site_type='TBD',basic_key_type='LABEL',basic_key_no='woTypeDesc' ,upd_date= to_char(sysdate,'yyyymmddhh24miss') where page_id =  (select page_id from tapage where file_name='workPmiList')  and field_id = 'workPmiCommonDTO.filterWoTypeDesc'; </v>
      </c>
      <c r="AB17" t="s">
        <v>33</v>
      </c>
      <c r="AC17" s="14" t="str">
        <f t="shared" si="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'workPmiCommonDTO.filterWoTypeDesc', '작업종류', 'Y', '250', 'N', 'LABEL', 'woTypeDesc', 'N',   'N',  'workPmiList',  'N',  'TBD',  '1.00',  'LABEL',  'woTypeDesc', CONVERT(CHAR(8),GETDATE(),112)+REPLACE(CONVERT(CHAR(8),GETDATE(),108),':',''), CONVERT(CHAR(8),GETDATE(),112)+REPLACE(CONVERT(CHAR(8),GETDATE(),108),':',''));</v>
      </c>
      <c r="AD17" s="15" t="str">
        <f t="shared" si="5"/>
        <v xml:space="preserve"> update tapgfield set version_info='1.00',str_length='',system_yn='N',hidden_yn='Y',display_yn ='N'  ,check_yn='N',readonly_yn='N',ord_no='250',key_type='LABEL',key_no='woTypeDesc',site_type='TBD',basic_key_type='LABEL',basic_key_no='woTypeDesc' ,upd_date= CONVERT(CHAR(8),GETDATE(),112)+REPLACE(CONVERT(CHAR(8),GETDATE(),108),':','') where page_id =  (select page_id from tapage where file_name='workPmiList')  and field_id = 'workPmiCommonDTO.filterWoTypeDesc'; </v>
      </c>
      <c r="AE17" t="s">
        <v>33</v>
      </c>
      <c r="AF17" s="14" t="str">
        <f t="shared" si="6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'workPmiCommonDTO.filterWoTypeDesc', '작업종류', 'Y', '250', 'N', 'LABEL', 'woTypeDesc', 'N',   'N',  'workPmiList',  'N',  'TBD',  '1.00',  'LABEL',  'woTypeDesc', to_char(sysdate,'yyyymmddhh24miss'), to_char(sysdate,'yyyymmddhh24miss'));</v>
      </c>
      <c r="AG17" s="15" t="str">
        <f t="shared" si="7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'workPmiCommonDTO.filterWoTypeDesc', '작업종류', 'Y', '250', 'N', 'LABEL', 'woTypeDesc', 'N',   'N',  'workPmiList',  'N',  'TBD',  '1.00',  'LABEL',  'woTypeDesc', CONVERT(CHAR(8),GETDATE(),112)+REPLACE(CONVERT(CHAR(8),GETDATE(),108),':',''), CONVERT(CHAR(8),GETDATE(),112)+REPLACE(CONVERT(CHAR(8),GETDATE(),108),':',''));</v>
      </c>
      <c r="AH17" t="s">
        <v>33</v>
      </c>
      <c r="AI17" s="15" t="str">
        <f t="shared" si="8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'workPmiCommonDTO.filterWoTypeDesc', '작업종류', 'N', '250', 'Y', 'LABEL', 'woTypeDesc', 'N',   'N',  'workPmiList',  'N',  'TBD',  '1.00',  'LABEL',  'woTypeDesc', to_char(sysdate,'yyyymmddhh24miss'), to_char(sysdate,'yyyymmddhh24miss'));</v>
      </c>
      <c r="AJ17" s="15" t="str">
        <f t="shared" si="9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'workPmiCommonDTO.filterWoTypeDesc', '작업종류', 'N', '250', 'Y', 'LABEL', 'woTypeDesc', 'N',   'N',  'workPmiList',  'N',  'TBD',  '1.00',  'LABEL',  'woTypeDesc', CONVERT(CHAR(8),GETDATE(),112)+REPLACE(CONVERT(CHAR(8),GETDATE(),108),':',''), CONVERT(CHAR(8),GETDATE(),112)+REPLACE(CONVERT(CHAR(8),GETDATE(),108),':',''));</v>
      </c>
    </row>
    <row r="18" spans="1:36" s="15" customFormat="1" x14ac:dyDescent="0.3">
      <c r="A18" s="15">
        <v>17</v>
      </c>
      <c r="B18" s="14" t="s">
        <v>36</v>
      </c>
      <c r="C18" s="16" t="s">
        <v>42</v>
      </c>
      <c r="D18" s="16" t="s">
        <v>116</v>
      </c>
      <c r="E18" s="16" t="s">
        <v>59</v>
      </c>
      <c r="F18" s="16" t="s">
        <v>38</v>
      </c>
      <c r="G18" s="16" t="s">
        <v>306</v>
      </c>
      <c r="H18" s="16" t="s">
        <v>44</v>
      </c>
      <c r="I18" s="16" t="s">
        <v>44</v>
      </c>
      <c r="J18" s="16" t="s">
        <v>91</v>
      </c>
      <c r="M18" s="16" t="s">
        <v>44</v>
      </c>
      <c r="N18" s="16" t="s">
        <v>55</v>
      </c>
      <c r="O18" s="16" t="s">
        <v>61</v>
      </c>
      <c r="P18" s="16" t="s">
        <v>304</v>
      </c>
      <c r="Q18" s="36" t="s">
        <v>305</v>
      </c>
      <c r="W18" s="14" t="str">
        <f t="shared" si="0"/>
        <v xml:space="preserve"> (select page_id from tapage where file_name='workPmiList') </v>
      </c>
      <c r="X18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8" t="s">
        <v>33</v>
      </c>
      <c r="Z18" s="14" t="str">
        <f t="shared" si="2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'workPmiCommonDTO.filterPmTypeDesc', '작업형태', 'Y', '260', 'N', 'LABEL', 'pmType', 'N',   'N',  'workPmiList',  'N',  'TBD',  '1.00',  'LABEL',  'pmType', to_char(sysdate,'yyyymmddhh24miss'), to_char(sysdate,'yyyymmddhh24miss'));</v>
      </c>
      <c r="AA18" s="14" t="str">
        <f t="shared" si="3"/>
        <v xml:space="preserve"> update tapgfield set version_info='1.00',str_length='',system_yn='N',hidden_yn='Y',display_yn ='N'  ,check_yn='N',readonly_yn='N',ord_no='260',key_type='LABEL',key_no='pmType',site_type='TBD',basic_key_type='LABEL',basic_key_no='pmType' ,upd_date= to_char(sysdate,'yyyymmddhh24miss') where page_id =  (select page_id from tapage where file_name='workPmiList')  and field_id = 'workPmiCommonDTO.filterPmTypeDesc'; </v>
      </c>
      <c r="AB18" t="s">
        <v>33</v>
      </c>
      <c r="AC18" s="14" t="str">
        <f t="shared" si="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'workPmiCommonDTO.filterPmTypeDesc', '작업형태', 'Y', '260', 'N', 'LABEL', 'pmType', 'N',   'N',  'workPmiList',  'N',  'TBD',  '1.00',  'LABEL',  'pmType', CONVERT(CHAR(8),GETDATE(),112)+REPLACE(CONVERT(CHAR(8),GETDATE(),108),':',''), CONVERT(CHAR(8),GETDATE(),112)+REPLACE(CONVERT(CHAR(8),GETDATE(),108),':',''));</v>
      </c>
      <c r="AD18" s="15" t="str">
        <f t="shared" si="5"/>
        <v xml:space="preserve"> update tapgfield set version_info='1.00',str_length='',system_yn='N',hidden_yn='Y',display_yn ='N'  ,check_yn='N',readonly_yn='N',ord_no='260',key_type='LABEL',key_no='pmType',site_type='TBD',basic_key_type='LABEL',basic_key_no='pmType' ,upd_date= CONVERT(CHAR(8),GETDATE(),112)+REPLACE(CONVERT(CHAR(8),GETDATE(),108),':','') where page_id =  (select page_id from tapage where file_name='workPmiList')  and field_id = 'workPmiCommonDTO.filterPmTypeDesc'; </v>
      </c>
      <c r="AE18" t="s">
        <v>33</v>
      </c>
      <c r="AF18" s="14" t="str">
        <f t="shared" si="6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'workPmiCommonDTO.filterPmTypeDesc', '작업형태', 'Y', '260', 'N', 'LABEL', 'pmType', 'N',   'N',  'workPmiList',  'N',  'TBD',  '1.00',  'LABEL',  'pmType', to_char(sysdate,'yyyymmddhh24miss'), to_char(sysdate,'yyyymmddhh24miss'));</v>
      </c>
      <c r="AG18" s="15" t="str">
        <f t="shared" si="7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'workPmiCommonDTO.filterPmTypeDesc', '작업형태', 'Y', '260', 'N', 'LABEL', 'pmType', 'N',   'N',  'workPmiList',  'N',  'TBD',  '1.00',  'LABEL',  'pmType', CONVERT(CHAR(8),GETDATE(),112)+REPLACE(CONVERT(CHAR(8),GETDATE(),108),':',''), CONVERT(CHAR(8),GETDATE(),112)+REPLACE(CONVERT(CHAR(8),GETDATE(),108),':',''));</v>
      </c>
      <c r="AH18" t="s">
        <v>33</v>
      </c>
      <c r="AI18" s="15" t="str">
        <f t="shared" si="8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'workPmiCommonDTO.filterPmTypeDesc', '작업형태', 'N', '260', 'Y', 'LABEL', 'pmType', 'N',   'N',  'workPmiList',  'N',  'TBD',  '1.00',  'LABEL',  'pmType', to_char(sysdate,'yyyymmddhh24miss'), to_char(sysdate,'yyyymmddhh24miss'));</v>
      </c>
      <c r="AJ18" s="15" t="str">
        <f t="shared" si="9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'workPmiCommonDTO.filterPmTypeDesc', '작업형태', 'N', '260', 'Y', 'LABEL', 'pmType', 'N',   'N',  'workPmiList',  'N',  'TBD',  '1.00',  'LABEL',  'pmType', CONVERT(CHAR(8),GETDATE(),112)+REPLACE(CONVERT(CHAR(8),GETDATE(),108),':',''), CONVERT(CHAR(8),GETDATE(),112)+REPLACE(CONVERT(CHAR(8),GETDATE(),108),':',''));</v>
      </c>
    </row>
    <row r="19" spans="1:36" s="15" customFormat="1" x14ac:dyDescent="0.3">
      <c r="A19" s="15">
        <v>18</v>
      </c>
      <c r="B19" s="14" t="s">
        <v>36</v>
      </c>
      <c r="C19" s="16" t="s">
        <v>42</v>
      </c>
      <c r="D19" s="16" t="s">
        <v>119</v>
      </c>
      <c r="E19" s="16" t="s">
        <v>118</v>
      </c>
      <c r="F19" s="16" t="s">
        <v>38</v>
      </c>
      <c r="G19" s="16" t="s">
        <v>306</v>
      </c>
      <c r="H19" s="16" t="s">
        <v>44</v>
      </c>
      <c r="I19" s="16" t="s">
        <v>44</v>
      </c>
      <c r="J19" s="16" t="s">
        <v>89</v>
      </c>
      <c r="M19" s="16" t="s">
        <v>44</v>
      </c>
      <c r="N19" s="16" t="s">
        <v>55</v>
      </c>
      <c r="O19" s="16" t="s">
        <v>120</v>
      </c>
      <c r="P19" s="16" t="s">
        <v>304</v>
      </c>
      <c r="Q19" s="36" t="s">
        <v>305</v>
      </c>
      <c r="W19" s="14" t="str">
        <f t="shared" si="0"/>
        <v xml:space="preserve"> (select page_id from tapage where file_name='workPmiList') </v>
      </c>
      <c r="X19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19" t="s">
        <v>33</v>
      </c>
      <c r="Z19" s="14" t="str">
        <f t="shared" si="2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'workPmiCommonDTO.filterEqCtgTypeDesc', '설비유형', 'Y', '270', 'N', 'LABEL', 'eqCtgType', 'N',   'N',  'workPmiList',  'N',  'TBD',  '1.00',  'LABEL',  'eqCtgType', to_char(sysdate,'yyyymmddhh24miss'), to_char(sysdate,'yyyymmddhh24miss'));</v>
      </c>
      <c r="AA19" s="14" t="str">
        <f t="shared" si="3"/>
        <v xml:space="preserve"> update tapgfield set version_info='1.00',str_length='',system_yn='N',hidden_yn='Y',display_yn ='N'  ,check_yn='N',readonly_yn='N',ord_no='270',key_type='LABEL',key_no='eqCtgType',site_type='TBD',basic_key_type='LABEL',basic_key_no='eqCtgType' ,upd_date= to_char(sysdate,'yyyymmddhh24miss') where page_id =  (select page_id from tapage where file_name='workPmiList')  and field_id = 'workPmiCommonDTO.filterEqCtgTypeDesc'; </v>
      </c>
      <c r="AB19" t="s">
        <v>33</v>
      </c>
      <c r="AC19" s="14" t="str">
        <f t="shared" si="4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'workPmiCommonDTO.filterEqCtgTypeDesc', '설비유형', 'Y', '270', 'N', 'LABEL', 'eqCtgType', 'N',   'N',  'workPmiList',  'N',  'TBD',  '1.00',  'LABEL',  'eqCtgType', CONVERT(CHAR(8),GETDATE(),112)+REPLACE(CONVERT(CHAR(8),GETDATE(),108),':',''), CONVERT(CHAR(8),GETDATE(),112)+REPLACE(CONVERT(CHAR(8),GETDATE(),108),':',''));</v>
      </c>
      <c r="AD19" s="15" t="str">
        <f t="shared" si="5"/>
        <v xml:space="preserve"> update tapgfield set version_info='1.00',str_length='',system_yn='N',hidden_yn='Y',display_yn ='N'  ,check_yn='N',readonly_yn='N',ord_no='270',key_type='LABEL',key_no='eqCtgType',site_type='TBD',basic_key_type='LABEL',basic_key_no='eqCtgType' ,upd_date= CONVERT(CHAR(8),GETDATE(),112)+REPLACE(CONVERT(CHAR(8),GETDATE(),108),':','') where page_id =  (select page_id from tapage where file_name='workPmiList')  and field_id = 'workPmiCommonDTO.filterEqCtgTypeDesc'; </v>
      </c>
      <c r="AE19" t="s">
        <v>33</v>
      </c>
      <c r="AF19" s="14" t="str">
        <f t="shared" si="6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'workPmiCommonDTO.filterEqCtgTypeDesc', '설비유형', 'Y', '270', 'N', 'LABEL', 'eqCtgType', 'N',   'N',  'workPmiList',  'N',  'TBD',  '1.00',  'LABEL',  'eqCtgType', to_char(sysdate,'yyyymmddhh24miss'), to_char(sysdate,'yyyymmddhh24miss'));</v>
      </c>
      <c r="AG19" s="15" t="str">
        <f t="shared" si="7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'workPmiCommonDTO.filterEqCtgTypeDesc', '설비유형', 'Y', '270', 'N', 'LABEL', 'eqCtgType', 'N',   'N',  'workPmiList',  'N',  'TBD',  '1.00',  'LABEL',  'eqCtgType', CONVERT(CHAR(8),GETDATE(),112)+REPLACE(CONVERT(CHAR(8),GETDATE(),108),':',''), CONVERT(CHAR(8),GETDATE(),112)+REPLACE(CONVERT(CHAR(8),GETDATE(),108),':',''));</v>
      </c>
      <c r="AH19" t="s">
        <v>33</v>
      </c>
      <c r="AI19" s="15" t="str">
        <f t="shared" si="8"/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'workPmiCommonDTO.filterEqCtgTypeDesc', '설비유형', 'N', '270', 'Y', 'LABEL', 'eqCtgType', 'N',   'N',  'workPmiList',  'N',  'TBD',  '1.00',  'LABEL',  'eqCtgType', to_char(sysdate,'yyyymmddhh24miss'), to_char(sysdate,'yyyymmddhh24miss'));</v>
      </c>
      <c r="AJ19" s="15" t="str">
        <f t="shared" si="9"/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'workPmiCommonDTO.filterEqCtgTypeDesc', '설비유형', 'N', '270', 'Y', 'LABEL', 'eqCtgType', 'N',   'N',  'workPmiList',  'N',  'TBD',  '1.00',  'LABEL',  'eqCtgType', CONVERT(CHAR(8),GETDATE(),112)+REPLACE(CONVERT(CHAR(8),GETDATE(),108),':',''), CONVERT(CHAR(8),GETDATE(),112)+REPLACE(CONVERT(CHAR(8),GETDATE(),108),':',''));</v>
      </c>
    </row>
    <row r="20" spans="1:36" s="15" customFormat="1" x14ac:dyDescent="0.3">
      <c r="A20" s="15">
        <v>19</v>
      </c>
      <c r="B20" s="14" t="s">
        <v>36</v>
      </c>
      <c r="C20" s="16" t="s">
        <v>42</v>
      </c>
      <c r="D20" s="16" t="s">
        <v>365</v>
      </c>
      <c r="E20" s="16" t="s">
        <v>358</v>
      </c>
      <c r="F20" s="16" t="s">
        <v>306</v>
      </c>
      <c r="G20" s="16" t="s">
        <v>297</v>
      </c>
      <c r="H20" s="16" t="s">
        <v>44</v>
      </c>
      <c r="I20" s="16" t="s">
        <v>44</v>
      </c>
      <c r="J20" s="16" t="s">
        <v>359</v>
      </c>
      <c r="M20" s="16" t="s">
        <v>44</v>
      </c>
      <c r="N20" s="16" t="s">
        <v>55</v>
      </c>
      <c r="O20" s="16" t="s">
        <v>360</v>
      </c>
      <c r="P20" s="16" t="s">
        <v>361</v>
      </c>
      <c r="Q20" s="36" t="s">
        <v>362</v>
      </c>
      <c r="S20" s="15" t="s">
        <v>349</v>
      </c>
      <c r="T20" s="15" t="s">
        <v>363</v>
      </c>
      <c r="U20" s="15" t="s">
        <v>364</v>
      </c>
      <c r="W20" s="14" t="str">
        <f t="shared" ref="W20" si="37">" (select page_id from tapage where file_name='"&amp;C20&amp;"') "</f>
        <v xml:space="preserve"> (select page_id from tapage where file_name='workPmiList') </v>
      </c>
      <c r="X20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20" t="s">
        <v>33</v>
      </c>
      <c r="Z20" s="14" t="str">
        <f t="shared" ref="Z20" si="38">X20&amp;" VALUES (sqapgfield_id.nextval, "&amp;W20&amp;", '"&amp;TRIM(D20)&amp;"', '"&amp;TRIM(E20)&amp;"', '"&amp;TRIM(F20)&amp;"', '"&amp;TRIM(J20)&amp;"', '"&amp;TRIM(G20)&amp;"', '"&amp;TRIM(N20)&amp;"', '"&amp;TRIM(O20)&amp;"', '"&amp;TRIM(H20)&amp;"',   '"&amp;TRIM(I20)&amp;"',  '"&amp;TRIM(C20)&amp;"',  '"&amp;TRIM(I20)&amp;"',  '"&amp;TRIM(P20)&amp;"',  '"&amp;TRIM(Q20)&amp;"',  '"&amp;TRIM(N20)&amp;"',  '"&amp;TRIM(O20)&amp;"',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'workPmiCommonDTO.filterPminslistId', '점검작업#', 'N', '280', 'Y', 'LABEL', 'pmiNo', 'N',   'N',  'workPmiList',  'N',  'DREAM',  '2.00',  'LABEL',  'pmiNo', to_char(sysdate,'yyyymmddhh24miss'), to_char(sysdate,'yyyymmddhh24miss'));</v>
      </c>
      <c r="AA20" s="14" t="str">
        <f t="shared" ref="AA20" si="39">" update tapgfield set version_info='"&amp;Q20&amp;"',str_length='"&amp;K20&amp;"',system_yn='"&amp;M20&amp;"',hidden_yn='"&amp;F20&amp;"',display_yn ='"&amp;G20&amp;"'  ,check_yn='"&amp;H20&amp;"',readonly_yn='"&amp;I20&amp;"',ord_no='"&amp;J20&amp;"',key_type='"&amp;N20&amp;"',key_no='"&amp;O20&amp;"',site_type='"&amp;P20&amp;"',basic_key_type='"&amp;N20&amp;"',basic_key_no='"&amp;O20&amp;"' ,upd_date= to_char(sysdate,'yyyymmddhh24miss') where page_id = "&amp;W20&amp;" and field_id = '"&amp;D20&amp;"'; "</f>
        <v xml:space="preserve"> update tapgfield set version_info='2.00',str_length='',system_yn='N',hidden_yn='N',display_yn ='Y'  ,check_yn='N',readonly_yn='N',ord_no='280',key_type='LABEL',key_no='pmiNo',site_type='DREAM',basic_key_type='LABEL',basic_key_no='pmiNo' ,upd_date= to_char(sysdate,'yyyymmddhh24miss') where page_id =  (select page_id from tapage where file_name='workPmiList')  and field_id = 'workPmiCommonDTO.filterPminslistId'; </v>
      </c>
      <c r="AB20" t="s">
        <v>33</v>
      </c>
      <c r="AC20" s="14" t="str">
        <f t="shared" ref="AC20" si="40">X20&amp;" VALUES (next value for sqapgfield_id, "&amp;W20&amp;", '"&amp;TRIM(D20)&amp;"', '"&amp;TRIM(E20)&amp;"', '"&amp;TRIM(F20)&amp;"', '"&amp;TRIM(J20)&amp;"', '"&amp;TRIM(G20)&amp;"', '"&amp;TRIM(N20)&amp;"', '"&amp;TRIM(O20)&amp;"', '"&amp;TRIM(H20)&amp;"',   '"&amp;TRIM(I20)&amp;"',  '"&amp;TRIM(C20)&amp;"',  '"&amp;TRIM(I20)&amp;"',  '"&amp;TRIM(P20)&amp;"',  '"&amp;TRIM(Q20)&amp;"',  '"&amp;TRIM(N20)&amp;"',  '"&amp;TRIM(O20)&amp;"',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'workPmiCommonDTO.filterPminslistId', '점검작업#', 'N', '280', 'Y', 'LABEL', 'pmiNo', 'N',   'N',  'workPmiList',  'N',  'DREAM',  '2.00',  'LABEL',  'pmiNo', CONVERT(CHAR(8),GETDATE(),112)+REPLACE(CONVERT(CHAR(8),GETDATE(),108),':',''), CONVERT(CHAR(8),GETDATE(),112)+REPLACE(CONVERT(CHAR(8),GETDATE(),108),':',''));</v>
      </c>
      <c r="AD20" s="15" t="str">
        <f t="shared" ref="AD20" si="41">" update tapgfield set version_info='"&amp;Q20&amp;"',str_length='"&amp;K20&amp;"',system_yn='"&amp;M20&amp;"',hidden_yn='"&amp;F20&amp;"',display_yn ='"&amp;G20&amp;"'  ,check_yn='"&amp;H20&amp;"',readonly_yn='"&amp;I20&amp;"',ord_no='"&amp;J20&amp;"',key_type='"&amp;N20&amp;"',key_no='"&amp;O20&amp;"',site_type='"&amp;P20&amp;"',basic_key_type='"&amp;N20&amp;"',basic_key_no='"&amp;O20&amp;"' ,upd_date= CONVERT(CHAR(8),GETDATE(),112)+REPLACE(CONVERT(CHAR(8),GETDATE(),108),':','') where page_id = "&amp;W20&amp;" and field_id = '"&amp;D20&amp;"'; "</f>
        <v xml:space="preserve"> update tapgfield set version_info='2.00',str_length='',system_yn='N',hidden_yn='N',display_yn ='Y'  ,check_yn='N',readonly_yn='N',ord_no='280',key_type='LABEL',key_no='pmiNo',site_type='DREAM',basic_key_type='LABEL',basic_key_no='pmiNo' ,upd_date= CONVERT(CHAR(8),GETDATE(),112)+REPLACE(CONVERT(CHAR(8),GETDATE(),108),':','') where page_id =  (select page_id from tapage where file_name='workPmiList')  and field_id = 'workPmiCommonDTO.filterPminslistId'; </v>
      </c>
      <c r="AE20" t="s">
        <v>33</v>
      </c>
      <c r="AF20" s="14" t="str">
        <f t="shared" ref="AF20" si="42">X20&amp;" VALUES (sqapgfield_id.nextval, "&amp;W20&amp;", '"&amp;TRIM(D20)&amp;"', '"&amp;TRIM(E20)&amp;"', 'Y', '"&amp;TRIM(J20)&amp;"', 'N', '"&amp;TRIM(N20)&amp;"', '"&amp;TRIM(O20)&amp;"', '"&amp;TRIM(H20)&amp;"',   '"&amp;TRIM(I20)&amp;"',  '"&amp;TRIM(C20)&amp;"',  '"&amp;TRIM(I20)&amp;"',  '"&amp;TRIM(P20)&amp;"',  '"&amp;TRIM(Q20)&amp;"',  '"&amp;TRIM(N20)&amp;"',  '"&amp;TRIM(O20)&amp;"',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'workPmiCommonDTO.filterPminslistId', '점검작업#', 'Y', '280', 'N', 'LABEL', 'pmiNo', 'N',   'N',  'workPmiList',  'N',  'DREAM',  '2.00',  'LABEL',  'pmiNo', to_char(sysdate,'yyyymmddhh24miss'), to_char(sysdate,'yyyymmddhh24miss'));</v>
      </c>
      <c r="AG20" s="15" t="str">
        <f t="shared" ref="AG20" si="43">X20&amp;" VALUES (next value for sqapgfield_id, "&amp;W20&amp;", '"&amp;TRIM(D20)&amp;"', '"&amp;TRIM(E20)&amp;"', 'Y', '"&amp;TRIM(J20)&amp;"', 'N', '"&amp;TRIM(N20)&amp;"', '"&amp;TRIM(O20)&amp;"', '"&amp;TRIM(H20)&amp;"',   '"&amp;TRIM(I20)&amp;"',  '"&amp;TRIM(C20)&amp;"',  '"&amp;TRIM(I20)&amp;"',  '"&amp;TRIM(P20)&amp;"',  '"&amp;TRIM(Q20)&amp;"',  '"&amp;TRIM(N20)&amp;"',  '"&amp;TRIM(O20)&amp;"',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'workPmiCommonDTO.filterPminslistId', '점검작업#', 'Y', '280', 'N', 'LABEL', 'pmiNo', 'N',   'N',  'workPmiList',  'N',  'DREAM',  '2.00',  'LABEL',  'pmiNo', CONVERT(CHAR(8),GETDATE(),112)+REPLACE(CONVERT(CHAR(8),GETDATE(),108),':',''), CONVERT(CHAR(8),GETDATE(),112)+REPLACE(CONVERT(CHAR(8),GETDATE(),108),':',''));</v>
      </c>
      <c r="AH20" t="s">
        <v>33</v>
      </c>
      <c r="AI20" s="15" t="str">
        <f t="shared" ref="AI20" si="44">X20&amp;" VALUES (sqapgfield_id.nextval, "&amp;W20&amp;", '"&amp;TRIM(D20)&amp;"', '"&amp;TRIM(E20)&amp;"', 'N', '"&amp;TRIM(J20)&amp;"', 'Y', '"&amp;TRIM(N20)&amp;"', '"&amp;TRIM(O20)&amp;"', '"&amp;TRIM(H20)&amp;"',   '"&amp;TRIM(I20)&amp;"',  '"&amp;TRIM(C20)&amp;"',  '"&amp;TRIM(I20)&amp;"',  '"&amp;TRIM(P20)&amp;"',  '"&amp;TRIM(Q20)&amp;"',  '"&amp;TRIM(N20)&amp;"',  '"&amp;TRIM(O20)&amp;"',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'workPmiCommonDTO.filterPminslistId', '점검작업#', 'N', '280', 'Y', 'LABEL', 'pmiNo', 'N',   'N',  'workPmiList',  'N',  'DREAM',  '2.00',  'LABEL',  'pmiNo', to_char(sysdate,'yyyymmddhh24miss'), to_char(sysdate,'yyyymmddhh24miss'));</v>
      </c>
      <c r="AJ20" s="15" t="str">
        <f t="shared" ref="AJ20" si="45">X20&amp;" VALUES (next value for sqapgfield_id, "&amp;W20&amp;", '"&amp;TRIM(D20)&amp;"', '"&amp;TRIM(E20)&amp;"', 'N', '"&amp;TRIM(J20)&amp;"', 'Y', '"&amp;TRIM(N20)&amp;"', '"&amp;TRIM(O20)&amp;"', '"&amp;TRIM(H20)&amp;"',   '"&amp;TRIM(I20)&amp;"',  '"&amp;TRIM(C20)&amp;"',  '"&amp;TRIM(I20)&amp;"',  '"&amp;TRIM(P20)&amp;"',  '"&amp;TRIM(Q20)&amp;"',  '"&amp;TRIM(N20)&amp;"',  '"&amp;TRIM(O20)&amp;"',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'workPmiCommonDTO.filterPminslistId', '점검작업#', 'N', '280', 'Y', 'LABEL', 'pmiNo', 'N',   'N',  'workPmiList',  'N',  'DREAM',  '2.00',  'LABEL',  'pmiNo', CONVERT(CHAR(8),GETDATE(),112)+REPLACE(CONVERT(CHAR(8),GETDATE(),108),':',''), CONVERT(CHAR(8),GETDATE(),112)+REPLACE(CONVERT(CHAR(8),GETDATE(),108),':',''));</v>
      </c>
    </row>
    <row r="21" spans="1:36" s="15" customFormat="1" x14ac:dyDescent="0.3">
      <c r="A21" s="15">
        <v>19</v>
      </c>
      <c r="B21" s="14" t="s">
        <v>36</v>
      </c>
      <c r="C21" s="16" t="s">
        <v>42</v>
      </c>
      <c r="D21" s="16" t="s">
        <v>373</v>
      </c>
      <c r="E21" s="16" t="s">
        <v>374</v>
      </c>
      <c r="F21" s="16" t="s">
        <v>306</v>
      </c>
      <c r="G21" s="16" t="s">
        <v>297</v>
      </c>
      <c r="H21" s="16" t="s">
        <v>44</v>
      </c>
      <c r="I21" s="16" t="s">
        <v>44</v>
      </c>
      <c r="J21" s="16" t="s">
        <v>375</v>
      </c>
      <c r="M21" s="16" t="s">
        <v>44</v>
      </c>
      <c r="N21" s="16" t="s">
        <v>55</v>
      </c>
      <c r="O21" s="16" t="s">
        <v>376</v>
      </c>
      <c r="P21" s="16" t="s">
        <v>361</v>
      </c>
      <c r="Q21" s="16" t="s">
        <v>377</v>
      </c>
      <c r="S21" s="15" t="s">
        <v>378</v>
      </c>
      <c r="T21" s="15" t="s">
        <v>379</v>
      </c>
      <c r="W21" s="14" t="str">
        <f t="shared" ref="W21" si="46">" (select page_id from tapage where file_name='"&amp;C21&amp;"') "</f>
        <v xml:space="preserve"> (select page_id from tapage where file_name='workPmiList') </v>
      </c>
      <c r="X21" s="14" t="str">
        <f t="shared" si="1"/>
        <v>INSERT INTO TAPGFIELD (pgfield_id, page_id, field_id, description, hidden_yn, ord_no, display_yn, key_type, key_no, check_yn, readonly_yn, file_name, system_yn, site_type, version_info, basic_key_type, basic_key_no, cre_date, upd_date)</v>
      </c>
      <c r="Y21" t="s">
        <v>33</v>
      </c>
      <c r="Z21" s="14" t="str">
        <f t="shared" ref="Z21" si="47">X21&amp;" VALUES (sqapgfield_id.nextval, "&amp;W21&amp;", '"&amp;TRIM(D21)&amp;"', '"&amp;TRIM(E21)&amp;"', '"&amp;TRIM(F21)&amp;"', '"&amp;TRIM(J21)&amp;"', '"&amp;TRIM(G21)&amp;"', '"&amp;TRIM(N21)&amp;"', '"&amp;TRIM(O21)&amp;"', '"&amp;TRIM(H21)&amp;"',   '"&amp;TRIM(I21)&amp;"',  '"&amp;TRIM(C21)&amp;"',  '"&amp;TRIM(I21)&amp;"',  '"&amp;TRIM(P21)&amp;"',  '"&amp;TRIM(Q21)&amp;"',  '"&amp;TRIM(N21)&amp;"',  '"&amp;TRIM(O21)&amp;"',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'workPmiCommonDTO.filterPmWkGrpNo', '점검Group', 'N', '290', 'Y', 'LABEL', 'pmWorkGroup', 'N',   'N',  'workPmiList',  'N',  'DREAM',  '3.00',  'LABEL',  'pmWorkGroup', to_char(sysdate,'yyyymmddhh24miss'), to_char(sysdate,'yyyymmddhh24miss'));</v>
      </c>
      <c r="AA21" s="14" t="str">
        <f t="shared" ref="AA21" si="48">" update tapgfield set version_info='"&amp;Q21&amp;"',str_length='"&amp;K21&amp;"',system_yn='"&amp;M21&amp;"',hidden_yn='"&amp;F21&amp;"',display_yn ='"&amp;G21&amp;"'  ,check_yn='"&amp;H21&amp;"',readonly_yn='"&amp;I21&amp;"',ord_no='"&amp;J21&amp;"',key_type='"&amp;N21&amp;"',key_no='"&amp;O21&amp;"',site_type='"&amp;P21&amp;"',basic_key_type='"&amp;N21&amp;"',basic_key_no='"&amp;O21&amp;"' ,upd_date= to_char(sysdate,'yyyymmddhh24miss') where page_id = "&amp;W21&amp;" and field_id = '"&amp;D21&amp;"'; "</f>
        <v xml:space="preserve"> update tapgfield set version_info='3.00',str_length='',system_yn='N',hidden_yn='N',display_yn ='Y'  ,check_yn='N',readonly_yn='N',ord_no='290',key_type='LABEL',key_no='pmWorkGroup',site_type='DREAM',basic_key_type='LABEL',basic_key_no='pmWorkGroup' ,upd_date= to_char(sysdate,'yyyymmddhh24miss') where page_id =  (select page_id from tapage where file_name='workPmiList')  and field_id = 'workPmiCommonDTO.filterPmWkGrpNo'; </v>
      </c>
      <c r="AB21" t="s">
        <v>33</v>
      </c>
      <c r="AC21" s="14" t="str">
        <f t="shared" ref="AC21" si="49">X21&amp;" VALUES (next value for sqapgfield_id, "&amp;W21&amp;", '"&amp;TRIM(D21)&amp;"', '"&amp;TRIM(E21)&amp;"', '"&amp;TRIM(F21)&amp;"', '"&amp;TRIM(J21)&amp;"', '"&amp;TRIM(G21)&amp;"', '"&amp;TRIM(N21)&amp;"', '"&amp;TRIM(O21)&amp;"', '"&amp;TRIM(H21)&amp;"',   '"&amp;TRIM(I21)&amp;"',  '"&amp;TRIM(C21)&amp;"',  '"&amp;TRIM(I21)&amp;"',  '"&amp;TRIM(P21)&amp;"',  '"&amp;TRIM(Q21)&amp;"',  '"&amp;TRIM(N21)&amp;"',  '"&amp;TRIM(O21)&amp;"',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'workPmiCommonDTO.filterPmWkGrpNo', '점검Group', 'N', '290', 'Y', 'LABEL', 'pmWorkGroup', 'N',   'N',  'workPmiList',  'N',  'DREAM',  '3.00',  'LABEL',  'pmWorkGroup', CONVERT(CHAR(8),GETDATE(),112)+REPLACE(CONVERT(CHAR(8),GETDATE(),108),':',''), CONVERT(CHAR(8),GETDATE(),112)+REPLACE(CONVERT(CHAR(8),GETDATE(),108),':',''));</v>
      </c>
      <c r="AD21" s="15" t="str">
        <f t="shared" ref="AD21" si="50">" update tapgfield set version_info='"&amp;Q21&amp;"',str_length='"&amp;K21&amp;"',system_yn='"&amp;M21&amp;"',hidden_yn='"&amp;F21&amp;"',display_yn ='"&amp;G21&amp;"'  ,check_yn='"&amp;H21&amp;"',readonly_yn='"&amp;I21&amp;"',ord_no='"&amp;J21&amp;"',key_type='"&amp;N21&amp;"',key_no='"&amp;O21&amp;"',site_type='"&amp;P21&amp;"',basic_key_type='"&amp;N21&amp;"',basic_key_no='"&amp;O21&amp;"' ,upd_date= CONVERT(CHAR(8),GETDATE(),112)+REPLACE(CONVERT(CHAR(8),GETDATE(),108),':','') where page_id = "&amp;W21&amp;" and field_id = '"&amp;D21&amp;"'; "</f>
        <v xml:space="preserve"> update tapgfield set version_info='3.00',str_length='',system_yn='N',hidden_yn='N',display_yn ='Y'  ,check_yn='N',readonly_yn='N',ord_no='290',key_type='LABEL',key_no='pmWorkGroup',site_type='DREAM',basic_key_type='LABEL',basic_key_no='pmWorkGroup' ,upd_date= CONVERT(CHAR(8),GETDATE(),112)+REPLACE(CONVERT(CHAR(8),GETDATE(),108),':','') where page_id =  (select page_id from tapage where file_name='workPmiList')  and field_id = 'workPmiCommonDTO.filterPmWkGrpNo'; </v>
      </c>
      <c r="AE21" t="s">
        <v>33</v>
      </c>
      <c r="AF21" s="14" t="str">
        <f t="shared" ref="AF21" si="51">X21&amp;" VALUES (sqapgfield_id.nextval, "&amp;W21&amp;", '"&amp;TRIM(D21)&amp;"', '"&amp;TRIM(E21)&amp;"', 'Y', '"&amp;TRIM(J21)&amp;"', 'N', '"&amp;TRIM(N21)&amp;"', '"&amp;TRIM(O21)&amp;"', '"&amp;TRIM(H21)&amp;"',   '"&amp;TRIM(I21)&amp;"',  '"&amp;TRIM(C21)&amp;"',  '"&amp;TRIM(I21)&amp;"',  '"&amp;TRIM(P21)&amp;"',  '"&amp;TRIM(Q21)&amp;"',  '"&amp;TRIM(N21)&amp;"',  '"&amp;TRIM(O21)&amp;"',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'workPmiCommonDTO.filterPmWkGrpNo', '점검Group', 'Y', '290', 'N', 'LABEL', 'pmWorkGroup', 'N',   'N',  'workPmiList',  'N',  'DREAM',  '3.00',  'LABEL',  'pmWorkGroup', to_char(sysdate,'yyyymmddhh24miss'), to_char(sysdate,'yyyymmddhh24miss'));</v>
      </c>
      <c r="AG21" s="15" t="str">
        <f t="shared" ref="AG21" si="52">X21&amp;" VALUES (next value for sqapgfield_id, "&amp;W21&amp;", '"&amp;TRIM(D21)&amp;"', '"&amp;TRIM(E21)&amp;"', 'Y', '"&amp;TRIM(J21)&amp;"', 'N', '"&amp;TRIM(N21)&amp;"', '"&amp;TRIM(O21)&amp;"', '"&amp;TRIM(H21)&amp;"',   '"&amp;TRIM(I21)&amp;"',  '"&amp;TRIM(C21)&amp;"',  '"&amp;TRIM(I21)&amp;"',  '"&amp;TRIM(P21)&amp;"',  '"&amp;TRIM(Q21)&amp;"',  '"&amp;TRIM(N21)&amp;"',  '"&amp;TRIM(O21)&amp;"',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'workPmiCommonDTO.filterPmWkGrpNo', '점검Group', 'Y', '290', 'N', 'LABEL', 'pmWorkGroup', 'N',   'N',  'workPmiList',  'N',  'DREAM',  '3.00',  'LABEL',  'pmWorkGroup', CONVERT(CHAR(8),GETDATE(),112)+REPLACE(CONVERT(CHAR(8),GETDATE(),108),':',''), CONVERT(CHAR(8),GETDATE(),112)+REPLACE(CONVERT(CHAR(8),GETDATE(),108),':',''));</v>
      </c>
      <c r="AH21" t="s">
        <v>33</v>
      </c>
      <c r="AI21" s="15" t="str">
        <f t="shared" ref="AI21" si="53">X21&amp;" VALUES (sqapgfield_id.nextval, "&amp;W21&amp;", '"&amp;TRIM(D21)&amp;"', '"&amp;TRIM(E21)&amp;"', 'N', '"&amp;TRIM(J21)&amp;"', 'Y', '"&amp;TRIM(N21)&amp;"', '"&amp;TRIM(O21)&amp;"', '"&amp;TRIM(H21)&amp;"',   '"&amp;TRIM(I21)&amp;"',  '"&amp;TRIM(C21)&amp;"',  '"&amp;TRIM(I21)&amp;"',  '"&amp;TRIM(P21)&amp;"',  '"&amp;TRIM(Q21)&amp;"',  '"&amp;TRIM(N21)&amp;"',  '"&amp;TRIM(O21)&amp;"', to_char(sysdate,'yyyymmddhh24miss'), to_char(sysdate,'yyyymmddhh24miss'));"</f>
        <v>INSERT INTO TAPGFIELD (pgfield_id, page_id, field_id, description, hidden_yn, ord_no, display_yn, key_type, key_no, check_yn, readonly_yn, file_name, system_yn, site_type, version_info, basic_key_type, basic_key_no, cre_date, upd_date) VALUES (sqapgfield_id.nextval,  (select page_id from tapage where file_name='workPmiList') , 'workPmiCommonDTO.filterPmWkGrpNo', '점검Group', 'N', '290', 'Y', 'LABEL', 'pmWorkGroup', 'N',   'N',  'workPmiList',  'N',  'DREAM',  '3.00',  'LABEL',  'pmWorkGroup', to_char(sysdate,'yyyymmddhh24miss'), to_char(sysdate,'yyyymmddhh24miss'));</v>
      </c>
      <c r="AJ21" s="15" t="str">
        <f t="shared" ref="AJ21" si="54">X21&amp;" VALUES (next value for sqapgfield_id, "&amp;W21&amp;", '"&amp;TRIM(D21)&amp;"', '"&amp;TRIM(E21)&amp;"', 'N', '"&amp;TRIM(J21)&amp;"', 'Y', '"&amp;TRIM(N21)&amp;"', '"&amp;TRIM(O21)&amp;"', '"&amp;TRIM(H21)&amp;"',   '"&amp;TRIM(I21)&amp;"',  '"&amp;TRIM(C21)&amp;"',  '"&amp;TRIM(I21)&amp;"',  '"&amp;TRIM(P21)&amp;"',  '"&amp;TRIM(Q21)&amp;"',  '"&amp;TRIM(N21)&amp;"',  '"&amp;TRIM(O21)&amp;"', CONVERT(CHAR(8),GETDATE(),112)+REPLACE(CONVERT(CHAR(8),GETDATE(),108),':',''), CONVERT(CHAR(8),GETDATE(),112)+REPLACE(CONVERT(CHAR(8),GETDATE(),108),':',''));"</f>
        <v>INSERT INTO TAPGFIELD (pgfield_id, page_id, field_id, description, hidden_yn, ord_no, display_yn, key_type, key_no, check_yn, readonly_yn, file_name, system_yn, site_type, version_info, basic_key_type, basic_key_no, cre_date, upd_date) VALUES (next value for sqapgfield_id,  (select page_id from tapage where file_name='workPmiList') , 'workPmiCommonDTO.filterPmWkGrpNo', '점검Group', 'N', '290', 'Y', 'LABEL', 'pmWorkGroup', 'N',   'N',  'workPmiList',  'N',  'DREAM',  '3.00',  'LABEL',  'pmWorkGroup', CONVERT(CHAR(8),GETDATE(),112)+REPLACE(CONVERT(CHAR(8),GETDATE(),108),':',''), CONVERT(CHAR(8),GETDATE(),112)+REPLACE(CONVERT(CHAR(8),GETDATE(),108),':',''));</v>
      </c>
    </row>
  </sheetData>
  <autoFilter ref="A1:AJ1" xr:uid="{00000000-0009-0000-0000-000004000000}"/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27"/>
  <sheetViews>
    <sheetView topLeftCell="D10" zoomScale="85" zoomScaleNormal="85" workbookViewId="0">
      <selection activeCell="K31" sqref="K31"/>
    </sheetView>
  </sheetViews>
  <sheetFormatPr defaultRowHeight="16.5" x14ac:dyDescent="0.3"/>
  <cols>
    <col min="3" max="3" width="25" customWidth="1"/>
    <col min="4" max="4" width="12.75" bestFit="1" customWidth="1"/>
    <col min="6" max="6" width="18.375" bestFit="1" customWidth="1"/>
    <col min="7" max="7" width="13" bestFit="1" customWidth="1"/>
    <col min="11" max="11" width="12.75" bestFit="1" customWidth="1"/>
    <col min="12" max="12" width="17.25" bestFit="1" customWidth="1"/>
    <col min="18" max="18" width="15.5" bestFit="1" customWidth="1"/>
    <col min="21" max="21" width="16" bestFit="1" customWidth="1"/>
    <col min="22" max="22" width="17.375" customWidth="1"/>
  </cols>
  <sheetData>
    <row r="1" spans="1:51" s="13" customFormat="1" ht="66" x14ac:dyDescent="0.3">
      <c r="A1" s="18" t="s">
        <v>162</v>
      </c>
      <c r="B1" s="18" t="s">
        <v>163</v>
      </c>
      <c r="C1" s="18" t="s">
        <v>165</v>
      </c>
      <c r="D1" s="18" t="s">
        <v>240</v>
      </c>
      <c r="E1" s="18" t="s">
        <v>241</v>
      </c>
      <c r="F1" s="18" t="s">
        <v>242</v>
      </c>
      <c r="G1" s="19" t="s">
        <v>243</v>
      </c>
      <c r="H1" s="18" t="s">
        <v>244</v>
      </c>
      <c r="I1" s="19" t="s">
        <v>245</v>
      </c>
      <c r="J1" s="19" t="s">
        <v>246</v>
      </c>
      <c r="K1" s="19" t="s">
        <v>247</v>
      </c>
      <c r="L1" s="19" t="s">
        <v>248</v>
      </c>
      <c r="M1" s="19" t="s">
        <v>249</v>
      </c>
      <c r="N1" s="19" t="s">
        <v>250</v>
      </c>
      <c r="O1" s="19" t="s">
        <v>251</v>
      </c>
      <c r="P1" s="19" t="s">
        <v>252</v>
      </c>
      <c r="Q1" s="18" t="s">
        <v>172</v>
      </c>
      <c r="R1" s="18" t="s">
        <v>173</v>
      </c>
      <c r="S1" s="18" t="s">
        <v>34</v>
      </c>
      <c r="T1" s="18" t="s">
        <v>175</v>
      </c>
      <c r="U1" s="18" t="s">
        <v>234</v>
      </c>
      <c r="V1" s="18" t="s">
        <v>235</v>
      </c>
      <c r="W1"/>
      <c r="X1" s="32" t="s">
        <v>212</v>
      </c>
      <c r="Y1"/>
      <c r="Z1" s="43" t="s">
        <v>253</v>
      </c>
      <c r="AA1" s="43" t="s">
        <v>254</v>
      </c>
      <c r="AB1"/>
      <c r="AC1" s="24" t="s">
        <v>255</v>
      </c>
      <c r="AD1" s="24" t="s">
        <v>256</v>
      </c>
      <c r="AE1"/>
      <c r="AF1" s="32" t="s">
        <v>257</v>
      </c>
      <c r="AG1" s="32" t="s">
        <v>258</v>
      </c>
      <c r="AH1" s="32" t="s">
        <v>258</v>
      </c>
      <c r="AI1"/>
      <c r="AJ1" s="31" t="s">
        <v>259</v>
      </c>
      <c r="AK1" s="31" t="s">
        <v>260</v>
      </c>
      <c r="AL1"/>
      <c r="AM1" s="24" t="s">
        <v>261</v>
      </c>
      <c r="AN1" s="24" t="s">
        <v>262</v>
      </c>
      <c r="AO1"/>
      <c r="AP1" s="34" t="s">
        <v>263</v>
      </c>
      <c r="AQ1" s="35" t="s">
        <v>264</v>
      </c>
      <c r="AR1" s="26" t="s">
        <v>265</v>
      </c>
      <c r="AS1" s="26" t="s">
        <v>266</v>
      </c>
      <c r="AT1"/>
      <c r="AU1" s="34" t="s">
        <v>267</v>
      </c>
      <c r="AV1" s="35" t="s">
        <v>268</v>
      </c>
      <c r="AW1" s="26" t="s">
        <v>269</v>
      </c>
      <c r="AX1" s="26" t="s">
        <v>270</v>
      </c>
      <c r="AY1"/>
    </row>
    <row r="2" spans="1:51" x14ac:dyDescent="0.3">
      <c r="A2" s="64">
        <v>1</v>
      </c>
      <c r="B2" s="66" t="s">
        <v>36</v>
      </c>
      <c r="C2" s="67" t="s">
        <v>42</v>
      </c>
      <c r="D2" s="67" t="s">
        <v>130</v>
      </c>
      <c r="E2" s="67" t="s">
        <v>131</v>
      </c>
      <c r="F2" s="64" t="s">
        <v>134</v>
      </c>
      <c r="G2" s="64" t="s">
        <v>132</v>
      </c>
      <c r="H2" s="64"/>
      <c r="I2" s="67" t="s">
        <v>300</v>
      </c>
      <c r="J2" s="64" t="s">
        <v>133</v>
      </c>
      <c r="K2" s="64" t="s">
        <v>135</v>
      </c>
      <c r="L2" s="64" t="s">
        <v>136</v>
      </c>
      <c r="M2" s="64" t="s">
        <v>137</v>
      </c>
      <c r="N2" s="64" t="s">
        <v>138</v>
      </c>
      <c r="O2" s="64" t="s">
        <v>44</v>
      </c>
      <c r="P2" s="64" t="s">
        <v>44</v>
      </c>
      <c r="Q2" s="64" t="s">
        <v>55</v>
      </c>
      <c r="R2" s="64" t="s">
        <v>134</v>
      </c>
      <c r="S2" s="67" t="s">
        <v>39</v>
      </c>
      <c r="T2" s="68" t="s">
        <v>405</v>
      </c>
      <c r="U2" s="64"/>
      <c r="V2" s="64"/>
      <c r="X2" s="11" t="str">
        <f t="shared" ref="X2:X16" si="0">" (select page_id from tapage where file_name='"&amp;C2&amp;"') "</f>
        <v xml:space="preserve"> (select page_id from tapage where file_name='workPmiList') </v>
      </c>
      <c r="Y2" s="1" t="s">
        <v>33</v>
      </c>
      <c r="Z2" s="11" t="str">
        <f t="shared" ref="Z2:Z16" si="1">" insert into tapggrid(pggrid_id,page_id,grid_obj_id,description,height,file_name,site_type,version_info,cre_date,upd_date) values( sqapggrid_id.nextval,"&amp;X2&amp;",'"&amp;D2&amp;"', (select description from tapage where file_name = '"&amp;C2&amp;"') ,'"&amp;E2&amp;"','"&amp;C2&amp;"','"&amp;S2&amp;"','"&amp;T2&amp;"',to_char(sysdate,'yyyymmddhh24miss'),to_char(sysdate,'yyyymmddhh24miss'));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" s="11" t="str">
        <f t="shared" ref="AA2:AA16" si="2">" update tapggrid set height  = '"&amp;E2&amp;"', file_name  = '"&amp;C2&amp;"', site_type  = '"&amp;S2&amp;"', version_info  = '"&amp;T2&amp;"',  upd_date  = to_char(sysdate,'yyyymmddhh24miss') where page_id   = "&amp;X2&amp;" and grid_obj_id   = '"&amp;D2&amp;"'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" s="1" t="s">
        <v>33</v>
      </c>
      <c r="AC2" s="11" t="str">
        <f t="shared" ref="AC2:AC16" si="3">" insert into tapggrid(pggrid_id,page_id,grid_obj_id,description,height,file_name,site_type,version_info,cre_date,upd_date) values( next value for sqapggrid_id,"&amp;X2&amp;",'"&amp;D2&amp;"', (select description from tapage where file_name = '"&amp;C2&amp;"') ,'"&amp;E2&amp;"','"&amp;C2&amp;"','"&amp;S2&amp;"','"&amp;T2&amp;"',CONVERT(CHAR(8),GETDATE(),112)+REPLACE(CONVERT(CHAR(8),GETDATE(),108),':',''),CONVERT(CHAR(8),GETDATE(),112)+REPLACE(CONVERT(CHAR(8),GETDATE(),108),':',''));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" s="11" t="str">
        <f t="shared" ref="AD2:AD16" si="4" xml:space="preserve"> "update tapggrid set height  = '"&amp;E2&amp;"', file_name  = '"&amp;C2&amp;"', site_type  = '"&amp;S2&amp;"', version_info  = '"&amp;T2&amp;"',  upd_date  = CONVERT(CHAR(8),GETDATE(),112)+REPLACE(CONVERT(CHAR(8),GETDATE(),108),':','') where page_id   = "&amp;X2&amp;" and grid_obj_id   = '"&amp;D2&amp;"'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" s="1" t="s">
        <v>33</v>
      </c>
      <c r="AF2" s="11" t="str">
        <f t="shared" ref="AF2:AF16" si="5">" (select pggrid_id from tapggrid where page_id = "&amp;X2&amp;"  and grid_obj_id = '"&amp;D2&amp;"' )"</f>
        <v xml:space="preserve"> (select pggrid_id from tapggrid where page_id =  (select page_id from tapage where file_name='workPmiList')   and grid_obj_id = 'gridbox' )</v>
      </c>
      <c r="AG2" s="11" t="str">
        <f t="shared" ref="AG2:AG27" si="6">"insert into tapggridcol(pggridcol_id,pggrid_id,column_id,ord_no,key_no,width,type,align,sort,hidden,key_type,system_col,description,file_name,grid_obj_id,table_name,column_name,site_type,version_info,basic_key_type,basic_key_no,cre_date,upd_date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" s="11" t="str">
        <f t="shared" ref="AH2:AH16" si="7">AG2&amp;",display_yn)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" s="1" t="s">
        <v>33</v>
      </c>
      <c r="AJ2" s="11" t="str">
        <f t="shared" ref="AJ2:AJ16" si="8">AH2&amp;" values( sqapggridcol_id.nextval ,"&amp;AF2&amp;",'"&amp;F2&amp;"','"&amp;I2&amp;"','"&amp;R2&amp;"','"&amp;J2&amp;"','"&amp;K2&amp;"','"&amp;L2&amp;"','"&amp;M2&amp;"','"&amp;N2&amp;"','"&amp;Q2&amp;"','"&amp;O2&amp;"','"&amp;G2&amp;"','"&amp;C2&amp;"','"&amp;D2&amp;"','"&amp;U2&amp;"','"&amp;V2&amp;"','"&amp;S2&amp;"','"&amp;T2&amp;"','"&amp;Q2&amp;"','"&amp;R2&amp;"',to_char(sysdate,'yyyymmddhh24miss'),to_char(sysdate,'yyyymmddhh24miss'),'"&amp;P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),'ISDELCHECK','110','ISDELCHECK','60','ch','center','na','false','LABEL','N','선택','workPmiList','gridbox','','','DREAM','3.00','LABEL','ISDELCHECK',to_char(sysdate,'yyyymmddhh24miss'),to_char(sysdate,'yyyymmddhh24miss'),'N' ); </v>
      </c>
      <c r="AK2" s="11" t="str">
        <f t="shared" ref="AK2:AK16" si="9">" update tapggridcol set ord_no ='"&amp;I2&amp;"' , key_type = '"&amp;Q2&amp;"', key_no ='"&amp;R2&amp;"' , site_type ='"&amp;S2&amp;"', version_info ='"&amp;T2&amp;"' , basic_key_type ='"&amp;Q2&amp;"' , basic_key_no ='"&amp;R2&amp;"', width='"&amp;J2&amp;"' ,type='"&amp;K2&amp;"' ,align='"&amp;L2&amp;"' ,sort='"&amp;M2&amp;"' ,hidden='"&amp;N2&amp;"' ,system_col='"&amp;O2&amp;"' ,display_yn='"&amp;P2&amp;"' ,description='"&amp;G2&amp;"' ,file_name='"&amp;C2&amp;"' ,grid_obj_id='"&amp;D2&amp;"' ,table_name='"&amp;U2&amp;"' ,column_name='"&amp;V2&amp;"' , upd_date =to_char(sysdate,'yyyymmddhh24miss')  where pggrid_id ="&amp;AF2&amp;" and column_id = '"&amp;F2&amp;"' ; "</f>
        <v xml:space="preserve"> update tapggridcol set ord_no ='110' , key_type = 'LABEL', key_no ='ISDELCHECK' , site_type ='DREAM', version_info ='3.00' , basic_key_type ='LABEL' , basic_key_no ='ISDELCHECK', width='60' ,type='ch' ,align='center' ,sort='na' ,hidden='false' ,system_col='N' ,display_yn='N' ,description='선택' ,file_name='workPmiList' ,grid_obj_id='gridbox' ,table_name='' ,column_name='' , upd_date =to_char(sysdate,'yyyymmddhh24miss')  where pggrid_id = (select pggrid_id from tapggrid where page_id =  (select page_id from tapage where file_name='workPmiList')   and grid_obj_id = 'gridbox' ) and column_id = 'ISDELCHECK' ; </v>
      </c>
      <c r="AL2" s="1" t="s">
        <v>33</v>
      </c>
      <c r="AM2" s="11" t="str">
        <f t="shared" ref="AM2:AM16" si="10">AH2&amp;" values( next value for sqapggridcol_id ,"&amp;AF2&amp;",'"&amp;F2&amp;"','"&amp;I2&amp;"','"&amp;R2&amp;"','"&amp;J2&amp;"','"&amp;K2&amp;"','"&amp;L2&amp;"','"&amp;M2&amp;"','"&amp;N2&amp;"','"&amp;Q2&amp;"','"&amp;O2&amp;"','"&amp;G2&amp;"','"&amp;C2&amp;"','"&amp;D2&amp;"','"&amp;U2&amp;"','"&amp;V2&amp;"','"&amp;S2&amp;"','"&amp;T2&amp;"','"&amp;Q2&amp;"','"&amp;R2&amp;"',CONVERT(CHAR(8),GETDATE(),112)+REPLACE(CONVERT(CHAR(8),GETDATE(),108),':',''),CONVERT(CHAR(8),GETDATE(),112)+REPLACE(CONVERT(CHAR(8),GETDATE(),108),':','') ,'"&amp;P2&amp;"'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ISDELCHECK','110','ISDELCHECK','60','ch','center','na','false','LABEL','N','선택','workPmiList','gridbox','','','DREAM','3.00','LABEL','ISDELCHECK',CONVERT(CHAR(8),GETDATE(),112)+REPLACE(CONVERT(CHAR(8),GETDATE(),108),':',''),CONVERT(CHAR(8),GETDATE(),112)+REPLACE(CONVERT(CHAR(8),GETDATE(),108),':','') ,'N' ); </v>
      </c>
      <c r="AN2" s="11" t="str">
        <f t="shared" ref="AN2:AN16" si="11">" update tapggridcol set ord_no ='"&amp;I2&amp;"' , key_type = '"&amp;Q2&amp;"', key_no ='"&amp;R2&amp;"' , site_type ='"&amp;S2&amp;"', version_info ='"&amp;T2&amp;"' , basic_key_type ='"&amp;Q2&amp;"' , basic_key_no ='"&amp;R2&amp;"', width='"&amp;J2&amp;"' ,type='"&amp;K2&amp;"' ,align='"&amp;L2&amp;"' ,sort='"&amp;M2&amp;"' ,hidden='"&amp;N2&amp;"' ,system_col='"&amp;O2&amp;"',display_yn='"&amp;P2&amp;"'  ,description='"&amp;G2&amp;"' ,file_name='"&amp;C2&amp;"' ,grid_obj_id='"&amp;D2&amp;"' ,table_name='"&amp;U2&amp;"' ,column_name='"&amp;V2&amp;"' , upd_date =CONVERT(CHAR(8),GETDATE(),112)+REPLACE(CONVERT(CHAR(8),GETDATE(),108),':','')  where pggrid_id ="&amp;AF2&amp;" and column_id = '"&amp;F2&amp;"' ; "</f>
        <v xml:space="preserve"> update tapggridcol set ord_no ='110' , key_type = 'LABEL', key_no ='ISDELCHECK' , site_type ='DREAM', version_info ='3.00' , basic_key_type ='LABEL' , basic_key_no ='ISDELCHECK', width='60' ,type='ch' ,align='center' ,sort='na' ,hidden='false' ,system_col='N',display_yn='N'  ,description='선택' ,file_name='workPmiList' ,grid_obj_id='gridbox' ,table_name='' ,column_name='' , upd_date =CONVERT(CHAR(8),GETDATE(),112)+REPLACE(CONVERT(CHAR(8),GETDATE(),108),':','')  where pggrid_id = (select pggrid_id from tapggrid where page_id =  (select page_id from tapage where file_name='workPmiList')   and grid_obj_id = 'gridbox' ) and column_id = 'ISDELCHECK' ; </v>
      </c>
      <c r="AO2" s="1" t="s">
        <v>33</v>
      </c>
      <c r="AP2" s="11" t="str">
        <f t="shared" ref="AP2:AP16" si="12">" insert into tapggrid(pggrid_id,page_id,grid_obj_id,description,height,file_name,site_type,version_info,cre_date,upd_date) values( sqapggrid_id.nextval,"&amp;X2&amp;",'"&amp;D2&amp;"', (select description from tapage where file_name = '"&amp;C2&amp;"') ,'"&amp;E2&amp;"','"&amp;C2&amp;"','"&amp;S2&amp;"','"&amp;T2&amp;"',to_char(sysdate,'yyyymmddhh24miss'),to_char(sysdate,'yyyymmddhh24miss'));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" s="11" t="str">
        <f t="shared" ref="AQ2:AQ16" si="13">AH2&amp;" values( sqapggridcol_id.nextval ,"&amp;AF2&amp;",'"&amp;F2&amp;"','"&amp;I2&amp;"','"&amp;R2&amp;"','"&amp;J2&amp;"','"&amp;K2&amp;"','"&amp;L2&amp;"','"&amp;M2&amp;"','true','"&amp;Q2&amp;"','"&amp;O2&amp;"','"&amp;G2&amp;"','"&amp;C2&amp;"','"&amp;D2&amp;"','"&amp;U2&amp;"','"&amp;V2&amp;"','"&amp;S2&amp;"','"&amp;T2&amp;"','"&amp;Q2&amp;"','"&amp;R2&amp;"',to_char(sysdate,'yyyymmddhh24miss'),to_char(sysdate,'yyyymmddhh24miss')  ,'"&amp;P2&amp;"'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),'ISDELCHECK','110','ISDELCHECK','60','ch','center','na','true','LABEL','N','선택','workPmiList','gridbox','','','DREAM','3.00','LABEL','ISDELCHECK',to_char(sysdate,'yyyymmddhh24miss'),to_char(sysdate,'yyyymmddhh24miss')  ,'N' ); </v>
      </c>
      <c r="AR2" s="11" t="str">
        <f t="shared" ref="AR2:AR16" si="14">" insert into tapggrid(pggrid_id,page_id,grid_obj_id,description,height,file_name,site_type,version_info,cre_date,upd_date) values( next value for sqapggrid_id,"&amp;X2&amp;",'"&amp;D2&amp;"', (select description from tapage where file_name = '"&amp;C2&amp;"') ,'"&amp;E2&amp;"','"&amp;C2&amp;"','"&amp;S2&amp;"','"&amp;T2&amp;"',CONVERT(CHAR(8),GETDATE(),112)+REPLACE(CONVERT(CHAR(8),GETDATE(),108),':',''),CONVERT(CHAR(8),GETDATE(),112)+REPLACE(CONVERT(CHAR(8),GETDATE(),108),':',''));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" s="11" t="str">
        <f t="shared" ref="AS2:AS16" si="15">AH2&amp;" values( next value for sqapggridcol_id ,"&amp;AF2&amp;",'"&amp;F2&amp;"','"&amp;I2&amp;"','"&amp;R2&amp;"','"&amp;J2&amp;"','"&amp;K2&amp;"','"&amp;L2&amp;"','"&amp;M2&amp;"','true','"&amp;Q2&amp;"','"&amp;O2&amp;"','"&amp;G2&amp;"','"&amp;C2&amp;"','"&amp;D2&amp;"','"&amp;U2&amp;"','"&amp;V2&amp;"','"&amp;S2&amp;"','"&amp;T2&amp;"','"&amp;Q2&amp;"','"&amp;R2&amp;"',CONVERT(CHAR(8),GETDATE(),112)+REPLACE(CONVERT(CHAR(8),GETDATE(),108),':',''),CONVERT(CHAR(8),GETDATE(),112)+REPLACE(CONVERT(CHAR(8),GETDATE(),108),':','')  ,'"&amp;P2&amp;"'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ISDELCHECK','110','ISDELCHECK','60','ch','center','na','true','LABEL','N','선택','workPmiList','gridbox','','','DREAM','3.00','LABEL','ISDELCHECK',CONVERT(CHAR(8),GETDATE(),112)+REPLACE(CONVERT(CHAR(8),GETDATE(),108),':',''),CONVERT(CHAR(8),GETDATE(),112)+REPLACE(CONVERT(CHAR(8),GETDATE(),108),':','')  ,'N' ); </v>
      </c>
      <c r="AT2" s="1" t="s">
        <v>33</v>
      </c>
      <c r="AU2" s="11" t="str">
        <f t="shared" ref="AU2:AU16" si="16">" insert into tapggrid(pggrid_id,page_id,grid_obj_id,description,height,file_name,site_type,version_info,cre_date,upd_date) values( sqapggrid_id.nextval,"&amp;X2&amp;",'"&amp;D2&amp;"', (select description from tapage where file_name = '"&amp;C2&amp;"') ,'"&amp;E2&amp;"','"&amp;C2&amp;"','"&amp;S2&amp;"','"&amp;T2&amp;"',to_char(sysdate,'yyyymmddhh24miss'),to_char(sysdate,'yyyymmddhh24miss'));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" s="11" t="str">
        <f t="shared" ref="AV2:AV16" si="17">AH2&amp;" values( sqapggridcol_id.nextval ,"&amp;AF2&amp;",'"&amp;F2&amp;"','"&amp;I2&amp;"','"&amp;R2&amp;"','"&amp;J2&amp;"','"&amp;K2&amp;"','"&amp;L2&amp;"','"&amp;M2&amp;"','false','"&amp;Q2&amp;"','"&amp;O2&amp;"','"&amp;G2&amp;"','"&amp;C2&amp;"','"&amp;D2&amp;"','"&amp;U2&amp;"','"&amp;V2&amp;"','"&amp;S2&amp;"','"&amp;T2&amp;"','"&amp;Q2&amp;"','"&amp;R2&amp;"',to_char(sysdate,'yyyymmddhh24miss'),to_char(sysdate,'yyyymmddhh24miss') ,'"&amp;P2&amp;"'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),'ISDELCHECK','110','ISDELCHECK','60','ch','center','na','false','LABEL','N','선택','workPmiList','gridbox','','','DREAM','3.00','LABEL','ISDELCHECK',to_char(sysdate,'yyyymmddhh24miss'),to_char(sysdate,'yyyymmddhh24miss') ,'N'  ); </v>
      </c>
      <c r="AW2" s="11" t="str">
        <f t="shared" ref="AW2:AW16" si="18">" insert into tapggrid(pggrid_id,page_id,grid_obj_id,description,height,file_name,site_type,version_info,cre_date,upd_date) values( next value for sqapggrid_id,"&amp;X2&amp;",'"&amp;D2&amp;"', (select description from tapage where file_name = '"&amp;C2&amp;"') ,'"&amp;E2&amp;"','"&amp;C2&amp;"','"&amp;S2&amp;"','"&amp;T2&amp;"',CONVERT(CHAR(8),GETDATE(),112)+REPLACE(CONVERT(CHAR(8),GETDATE(),108),':',''),CONVERT(CHAR(8),GETDATE(),112)+REPLACE(CONVERT(CHAR(8),GETDATE(),108),':',''));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" s="11" t="str">
        <f t="shared" ref="AX2:AX16" si="19">AH2&amp;" values( next value for sqapggridcol_id ,"&amp;AF2&amp;",'"&amp;F2&amp;"','"&amp;I2&amp;"','"&amp;R2&amp;"','"&amp;J2&amp;"','"&amp;K2&amp;"','"&amp;L2&amp;"','"&amp;M2&amp;"','false','"&amp;Q2&amp;"','"&amp;O2&amp;"','"&amp;G2&amp;"','"&amp;C2&amp;"','"&amp;D2&amp;"','"&amp;U2&amp;"','"&amp;V2&amp;"','"&amp;S2&amp;"','"&amp;T2&amp;"','"&amp;Q2&amp;"','"&amp;R2&amp;"',CONVERT(CHAR(8),GETDATE(),112)+REPLACE(CONVERT(CHAR(8),GETDATE(),108),':',''),CONVERT(CHAR(8),GETDATE(),112)+REPLACE(CONVERT(CHAR(8),GETDATE(),108),':','')  ,'"&amp;P2&amp;"'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ISDELCHECK','110','ISDELCHECK','60','ch','center','na','false','LABEL','N','선택','workPmiList','gridbox','','','DREAM','3.00','LABEL','ISDELCHECK',CONVERT(CHAR(8),GETDATE(),112)+REPLACE(CONVERT(CHAR(8),GETDATE(),108),':',''),CONVERT(CHAR(8),GETDATE(),112)+REPLACE(CONVERT(CHAR(8),GETDATE(),108),':','')  ,'N' ); </v>
      </c>
    </row>
    <row r="3" spans="1:51" x14ac:dyDescent="0.3">
      <c r="A3" s="64">
        <v>2</v>
      </c>
      <c r="B3" s="66" t="s">
        <v>36</v>
      </c>
      <c r="C3" s="67" t="s">
        <v>42</v>
      </c>
      <c r="D3" s="67" t="s">
        <v>130</v>
      </c>
      <c r="E3" s="67" t="s">
        <v>131</v>
      </c>
      <c r="F3" s="64" t="s">
        <v>141</v>
      </c>
      <c r="G3" s="64" t="s">
        <v>139</v>
      </c>
      <c r="H3" s="64"/>
      <c r="I3" s="67" t="s">
        <v>301</v>
      </c>
      <c r="J3" s="64" t="s">
        <v>133</v>
      </c>
      <c r="K3" s="64" t="s">
        <v>143</v>
      </c>
      <c r="L3" s="64" t="s">
        <v>136</v>
      </c>
      <c r="M3" s="64" t="s">
        <v>137</v>
      </c>
      <c r="N3" s="64" t="s">
        <v>138</v>
      </c>
      <c r="O3" s="64" t="s">
        <v>44</v>
      </c>
      <c r="P3" s="64" t="s">
        <v>38</v>
      </c>
      <c r="Q3" s="64" t="s">
        <v>55</v>
      </c>
      <c r="R3" s="64" t="s">
        <v>142</v>
      </c>
      <c r="S3" s="67" t="s">
        <v>39</v>
      </c>
      <c r="T3" s="68" t="s">
        <v>405</v>
      </c>
      <c r="U3" s="64"/>
      <c r="V3" s="64"/>
      <c r="X3" s="11" t="str">
        <f t="shared" si="0"/>
        <v xml:space="preserve"> (select page_id from tapage where file_name='workPmiList') </v>
      </c>
      <c r="Y3" s="1" t="s">
        <v>33</v>
      </c>
      <c r="Z3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3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3" s="1" t="s">
        <v>33</v>
      </c>
      <c r="AC3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3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3" s="1" t="s">
        <v>33</v>
      </c>
      <c r="AF3" s="11" t="str">
        <f t="shared" si="5"/>
        <v xml:space="preserve"> (select pggrid_id from tapggrid where page_id =  (select page_id from tapage where file_name='workPmiList')   and grid_obj_id = 'gridbox' )</v>
      </c>
      <c r="AG3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3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3" s="1" t="s">
        <v>33</v>
      </c>
      <c r="AJ3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),'SEQNO','120','seqNo','60','cntr','center','na','false','LABEL','N','순번','workPmiList','gridbox','','','DREAM','3.00','LABEL','seqNo',to_char(sysdate,'yyyymmddhh24miss'),to_char(sysdate,'yyyymmddhh24miss'),'Y' ); </v>
      </c>
      <c r="AK3" s="11" t="str">
        <f t="shared" si="9"/>
        <v xml:space="preserve"> update tapggridcol set ord_no ='120' , key_type = 'LABEL', key_no ='seqNo' , site_type ='DREAM', version_info ='3.00' , basic_key_type ='LABEL' , basic_key_no ='seqNo', width='60' ,type='cntr' ,align='center' ,sort='na' ,hidden='false' ,system_col='N' ,display_yn='Y' ,description='순번' ,file_name='workPmiList' ,grid_obj_id='gridbox' ,table_name='' ,column_name='' , upd_date =to_char(sysdate,'yyyymmddhh24miss')  where pggrid_id = (select pggrid_id from tapggrid where page_id =  (select page_id from tapage where file_name='workPmiList')   and grid_obj_id = 'gridbox' ) and column_id = 'SEQNO' ; </v>
      </c>
      <c r="AL3" s="1" t="s">
        <v>33</v>
      </c>
      <c r="AM3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EQNO','120','seqNo','60','cntr','center','na','false','LABEL','N','순번','workPmiList','gridbox','','','DREAM','3.00','LABEL','seqNo',CONVERT(CHAR(8),GETDATE(),112)+REPLACE(CONVERT(CHAR(8),GETDATE(),108),':',''),CONVERT(CHAR(8),GETDATE(),112)+REPLACE(CONVERT(CHAR(8),GETDATE(),108),':','') ,'Y' ); </v>
      </c>
      <c r="AN3" s="11" t="str">
        <f t="shared" si="11"/>
        <v xml:space="preserve"> update tapggridcol set ord_no ='120' , key_type = 'LABEL', key_no ='seqNo' , site_type ='DREAM', version_info ='3.00' , basic_key_type ='LABEL' , basic_key_no ='seqNo', width='60' ,type='cntr' ,align='center' ,sort='na' ,hidden='false' ,system_col='N',display_yn='Y'  ,description='순번' ,file_name='workPmiList' ,grid_obj_id='gridbox' ,table_name='' ,column_name='' , upd_date =CONVERT(CHAR(8),GETDATE(),112)+REPLACE(CONVERT(CHAR(8),GETDATE(),108),':','')  where pggrid_id = (select pggrid_id from tapggrid where page_id =  (select page_id from tapage where file_name='workPmiList')   and grid_obj_id = 'gridbox' ) and column_id = 'SEQNO' ; </v>
      </c>
      <c r="AO3" s="1" t="s">
        <v>33</v>
      </c>
      <c r="AP3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3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),'SEQNO','120','seqNo','60','cntr','center','na','true','LABEL','N','순번','workPmiList','gridbox','','','DREAM','3.00','LABEL','seqNo',to_char(sysdate,'yyyymmddhh24miss'),to_char(sysdate,'yyyymmddhh24miss')  ,'Y' ); </v>
      </c>
      <c r="AR3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3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EQNO','120','seqNo','60','cntr','center','na','true','LABEL','N','순번','workPmiList','gridbox','','','DREAM','3.00','LABEL','seqNo',CONVERT(CHAR(8),GETDATE(),112)+REPLACE(CONVERT(CHAR(8),GETDATE(),108),':',''),CONVERT(CHAR(8),GETDATE(),112)+REPLACE(CONVERT(CHAR(8),GETDATE(),108),':','')  ,'Y' ); </v>
      </c>
      <c r="AT3" s="1" t="s">
        <v>33</v>
      </c>
      <c r="AU3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3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),'SEQNO','120','seqNo','60','cntr','center','na','false','LABEL','N','순번','workPmiList','gridbox','','','DREAM','3.00','LABEL','seqNo',to_char(sysdate,'yyyymmddhh24miss'),to_char(sysdate,'yyyymmddhh24miss') ,'Y'  ); </v>
      </c>
      <c r="AW3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3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EQNO','120','seqNo','60','cntr','center','na','false','LABEL','N','순번','workPmiList','gridbox','','','DREAM','3.00','LABEL','seqNo',CONVERT(CHAR(8),GETDATE(),112)+REPLACE(CONVERT(CHAR(8),GETDATE(),108),':',''),CONVERT(CHAR(8),GETDATE(),112)+REPLACE(CONVERT(CHAR(8),GETDATE(),108),':','')  ,'Y' ); </v>
      </c>
    </row>
    <row r="4" spans="1:51" x14ac:dyDescent="0.3">
      <c r="A4" s="64">
        <v>3</v>
      </c>
      <c r="B4" s="66" t="s">
        <v>36</v>
      </c>
      <c r="C4" s="67" t="s">
        <v>42</v>
      </c>
      <c r="D4" s="67" t="s">
        <v>130</v>
      </c>
      <c r="E4" s="67" t="s">
        <v>131</v>
      </c>
      <c r="F4" s="64" t="s">
        <v>150</v>
      </c>
      <c r="G4" s="64" t="s">
        <v>71</v>
      </c>
      <c r="H4" s="64"/>
      <c r="I4" s="67" t="s">
        <v>57</v>
      </c>
      <c r="J4" s="64" t="s">
        <v>50</v>
      </c>
      <c r="K4" s="64" t="s">
        <v>403</v>
      </c>
      <c r="L4" s="64" t="s">
        <v>136</v>
      </c>
      <c r="M4" s="64" t="s">
        <v>146</v>
      </c>
      <c r="N4" s="64" t="s">
        <v>138</v>
      </c>
      <c r="O4" s="64" t="s">
        <v>44</v>
      </c>
      <c r="P4" s="64" t="s">
        <v>38</v>
      </c>
      <c r="Q4" s="64" t="s">
        <v>55</v>
      </c>
      <c r="R4" s="64" t="s">
        <v>73</v>
      </c>
      <c r="S4" s="67" t="s">
        <v>39</v>
      </c>
      <c r="T4" s="68" t="s">
        <v>405</v>
      </c>
      <c r="U4" s="65" t="s">
        <v>349</v>
      </c>
      <c r="V4" s="65" t="s">
        <v>424</v>
      </c>
      <c r="X4" s="11" t="str">
        <f t="shared" si="0"/>
        <v xml:space="preserve"> (select page_id from tapage where file_name='workPmiList') </v>
      </c>
      <c r="Y4" s="1" t="s">
        <v>33</v>
      </c>
      <c r="Z4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4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4" s="1" t="s">
        <v>33</v>
      </c>
      <c r="AC4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4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4" s="1" t="s">
        <v>33</v>
      </c>
      <c r="AF4" s="11" t="str">
        <f t="shared" si="5"/>
        <v xml:space="preserve"> (select pggrid_id from tapggrid where page_id =  (select page_id from tapage where file_name='workPmiList')   and grid_obj_id = 'gridbox' )</v>
      </c>
      <c r="AG4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4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4" s="1" t="s">
        <v>33</v>
      </c>
      <c r="AJ4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),'WKORDATE','130','inspectDate','100','datero','center','str','false','LABEL','N','점검일자','workPmiList','gridbox','TAPMINSLIST','WKOR_DATE','DREAM','3.00','LABEL','inspectDate',to_char(sysdate,'yyyymmddhh24miss'),to_char(sysdate,'yyyymmddhh24miss'),'Y' ); </v>
      </c>
      <c r="AK4" s="11" t="str">
        <f t="shared" si="9"/>
        <v xml:space="preserve"> update tapggridcol set ord_no ='130' , key_type = 'LABEL', key_no ='inspectDate' , site_type ='DREAM', version_info ='3.00' , basic_key_type ='LABEL' , basic_key_no ='inspectDate', width='100' ,type='datero' ,align='center' ,sort='str' ,hidden='false' ,system_col='N' ,display_yn='Y' ,description='점검일자' ,file_name='workPmiList' ,grid_obj_id='gridbox' ,table_name='TAPMINSLIST' ,column_name='WKOR_DATE' , upd_date =to_char(sysdate,'yyyymmddhh24miss')  where pggrid_id = (select pggrid_id from tapggrid where page_id =  (select page_id from tapage where file_name='workPmiList')   and grid_obj_id = 'gridbox' ) and column_id = 'WKORDATE' ; </v>
      </c>
      <c r="AL4" s="1" t="s">
        <v>33</v>
      </c>
      <c r="AM4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WKORDATE','130','inspectDate','100','datero','center','str','false','LABEL','N','점검일자','workPmiList','gridbox','TAPMINSLIST','WKOR_DATE','DREAM','3.00','LABEL','inspectDate',CONVERT(CHAR(8),GETDATE(),112)+REPLACE(CONVERT(CHAR(8),GETDATE(),108),':',''),CONVERT(CHAR(8),GETDATE(),112)+REPLACE(CONVERT(CHAR(8),GETDATE(),108),':','') ,'Y' ); </v>
      </c>
      <c r="AN4" s="11" t="str">
        <f t="shared" si="11"/>
        <v xml:space="preserve"> update tapggridcol set ord_no ='130' , key_type = 'LABEL', key_no ='inspectDate' , site_type ='DREAM', version_info ='3.00' , basic_key_type ='LABEL' , basic_key_no ='inspectDate', width='100' ,type='datero' ,align='center' ,sort='str' ,hidden='false' ,system_col='N',display_yn='Y'  ,description='점검일자' ,file_name='workPmiList' ,grid_obj_id='gridbox' ,table_name='TAPMINSLIST' ,column_name='WKOR_DATE' , upd_date =CONVERT(CHAR(8),GETDATE(),112)+REPLACE(CONVERT(CHAR(8),GETDATE(),108),':','')  where pggrid_id = (select pggrid_id from tapggrid where page_id =  (select page_id from tapage where file_name='workPmiList')   and grid_obj_id = 'gridbox' ) and column_id = 'WKORDATE' ; </v>
      </c>
      <c r="AO4" s="1" t="s">
        <v>33</v>
      </c>
      <c r="AP4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4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),'WKORDATE','130','inspectDate','100','datero','center','str','true','LABEL','N','점검일자','workPmiList','gridbox','TAPMINSLIST','WKOR_DATE','DREAM','3.00','LABEL','inspectDate',to_char(sysdate,'yyyymmddhh24miss'),to_char(sysdate,'yyyymmddhh24miss')  ,'Y' ); </v>
      </c>
      <c r="AR4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4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WKORDATE','130','inspectDate','100','datero','center','str','true','LABEL','N','점검일자','workPmiList','gridbox','TAPMINSLIST','WKOR_DATE','DREAM','3.00','LABEL','inspectDate',CONVERT(CHAR(8),GETDATE(),112)+REPLACE(CONVERT(CHAR(8),GETDATE(),108),':',''),CONVERT(CHAR(8),GETDATE(),112)+REPLACE(CONVERT(CHAR(8),GETDATE(),108),':','')  ,'Y' ); </v>
      </c>
      <c r="AT4" s="1" t="s">
        <v>33</v>
      </c>
      <c r="AU4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4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),'WKORDATE','130','inspectDate','100','datero','center','str','false','LABEL','N','점검일자','workPmiList','gridbox','TAPMINSLIST','WKOR_DATE','DREAM','3.00','LABEL','inspectDate',to_char(sysdate,'yyyymmddhh24miss'),to_char(sysdate,'yyyymmddhh24miss') ,'Y'  ); </v>
      </c>
      <c r="AW4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4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WKORDATE','130','inspectDate','100','datero','center','str','false','LABEL','N','점검일자','workPmiList','gridbox','TAPMINSLIST','WKOR_DATE','DREAM','3.00','LABEL','inspectDate',CONVERT(CHAR(8),GETDATE(),112)+REPLACE(CONVERT(CHAR(8),GETDATE(),108),':',''),CONVERT(CHAR(8),GETDATE(),112)+REPLACE(CONVERT(CHAR(8),GETDATE(),108),':','')  ,'Y' ); </v>
      </c>
    </row>
    <row r="5" spans="1:51" x14ac:dyDescent="0.3">
      <c r="A5" s="64">
        <v>4</v>
      </c>
      <c r="B5" s="66" t="s">
        <v>36</v>
      </c>
      <c r="C5" s="67" t="s">
        <v>42</v>
      </c>
      <c r="D5" s="67" t="s">
        <v>130</v>
      </c>
      <c r="E5" s="67" t="s">
        <v>131</v>
      </c>
      <c r="F5" s="64" t="s">
        <v>152</v>
      </c>
      <c r="G5" s="64" t="s">
        <v>151</v>
      </c>
      <c r="H5" s="64"/>
      <c r="I5" s="67" t="s">
        <v>60</v>
      </c>
      <c r="J5" s="64" t="s">
        <v>140</v>
      </c>
      <c r="K5" s="64" t="s">
        <v>419</v>
      </c>
      <c r="L5" s="64" t="s">
        <v>414</v>
      </c>
      <c r="M5" s="64" t="s">
        <v>146</v>
      </c>
      <c r="N5" s="64" t="s">
        <v>147</v>
      </c>
      <c r="O5" s="64" t="s">
        <v>44</v>
      </c>
      <c r="P5" s="64" t="s">
        <v>38</v>
      </c>
      <c r="Q5" s="64" t="s">
        <v>55</v>
      </c>
      <c r="R5" s="64" t="s">
        <v>153</v>
      </c>
      <c r="S5" s="67" t="s">
        <v>39</v>
      </c>
      <c r="T5" s="68" t="s">
        <v>405</v>
      </c>
      <c r="U5" s="65" t="s">
        <v>349</v>
      </c>
      <c r="V5" s="65" t="s">
        <v>425</v>
      </c>
      <c r="X5" s="11" t="str">
        <f t="shared" si="0"/>
        <v xml:space="preserve"> (select page_id from tapage where file_name='workPmiList') </v>
      </c>
      <c r="Y5" s="1" t="s">
        <v>33</v>
      </c>
      <c r="Z5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5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5" s="1" t="s">
        <v>33</v>
      </c>
      <c r="AC5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5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5" s="1" t="s">
        <v>33</v>
      </c>
      <c r="AF5" s="11" t="str">
        <f t="shared" si="5"/>
        <v xml:space="preserve"> (select pggrid_id from tapggrid where page_id =  (select page_id from tapage where file_name='workPmiList')   and grid_obj_id = 'gridbox' )</v>
      </c>
      <c r="AG5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5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5" s="1" t="s">
        <v>33</v>
      </c>
      <c r="AJ5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),'MEASURETIME','140','woTime','80','timero','center','str','true','LABEL','N','점검시간','workPmiList','gridbox','TAPMINSLIST','MEASURE_TIME','DREAM','3.00','LABEL','woTime',to_char(sysdate,'yyyymmddhh24miss'),to_char(sysdate,'yyyymmddhh24miss'),'Y' ); </v>
      </c>
      <c r="AK5" s="11" t="str">
        <f t="shared" si="9"/>
        <v xml:space="preserve"> update tapggridcol set ord_no ='140' , key_type = 'LABEL', key_no ='woTime' , site_type ='DREAM', version_info ='3.00' , basic_key_type ='LABEL' , basic_key_no ='woTime', width='80' ,type='timero' ,align='center' ,sort='str' ,hidden='true' ,system_col='N' ,display_yn='Y' ,description='점검시간' ,file_name='workPmiList' ,grid_obj_id='gridbox' ,table_name='TAPMINSLIST' ,column_name='MEASURE_TIME' , upd_date =to_char(sysdate,'yyyymmddhh24miss')  where pggrid_id = (select pggrid_id from tapggrid where page_id =  (select page_id from tapage where file_name='workPmiList')   and grid_obj_id = 'gridbox' ) and column_id = 'MEASURETIME' ; </v>
      </c>
      <c r="AL5" s="1" t="s">
        <v>33</v>
      </c>
      <c r="AM5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MEASURETIME','140','woTime','80','timero','center','str','true','LABEL','N','점검시간','workPmiList','gridbox','TAPMINSLIST','MEASURE_TIME','DREAM','3.00','LABEL','woTime',CONVERT(CHAR(8),GETDATE(),112)+REPLACE(CONVERT(CHAR(8),GETDATE(),108),':',''),CONVERT(CHAR(8),GETDATE(),112)+REPLACE(CONVERT(CHAR(8),GETDATE(),108),':','') ,'Y' ); </v>
      </c>
      <c r="AN5" s="11" t="str">
        <f t="shared" si="11"/>
        <v xml:space="preserve"> update tapggridcol set ord_no ='140' , key_type = 'LABEL', key_no ='woTime' , site_type ='DREAM', version_info ='3.00' , basic_key_type ='LABEL' , basic_key_no ='woTime', width='80' ,type='timero' ,align='center' ,sort='str' ,hidden='true' ,system_col='N',display_yn='Y'  ,description='점검시간' ,file_name='workPmiList' ,grid_obj_id='gridbox' ,table_name='TAPMINSLIST' ,column_name='MEASURE_TIME' , upd_date =CONVERT(CHAR(8),GETDATE(),112)+REPLACE(CONVERT(CHAR(8),GETDATE(),108),':','')  where pggrid_id = (select pggrid_id from tapggrid where page_id =  (select page_id from tapage where file_name='workPmiList')   and grid_obj_id = 'gridbox' ) and column_id = 'MEASURETIME' ; </v>
      </c>
      <c r="AO5" s="1" t="s">
        <v>33</v>
      </c>
      <c r="AP5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5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),'MEASURETIME','140','woTime','80','timero','center','str','true','LABEL','N','점검시간','workPmiList','gridbox','TAPMINSLIST','MEASURE_TIME','DREAM','3.00','LABEL','woTime',to_char(sysdate,'yyyymmddhh24miss'),to_char(sysdate,'yyyymmddhh24miss')  ,'Y' ); </v>
      </c>
      <c r="AR5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5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MEASURETIME','140','woTime','80','timero','center','str','true','LABEL','N','점검시간','workPmiList','gridbox','TAPMINSLIST','MEASURE_TIME','DREAM','3.00','LABEL','woTime',CONVERT(CHAR(8),GETDATE(),112)+REPLACE(CONVERT(CHAR(8),GETDATE(),108),':',''),CONVERT(CHAR(8),GETDATE(),112)+REPLACE(CONVERT(CHAR(8),GETDATE(),108),':','')  ,'Y' ); </v>
      </c>
      <c r="AT5" s="1" t="s">
        <v>33</v>
      </c>
      <c r="AU5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5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),'MEASURETIME','140','woTime','80','timero','center','str','false','LABEL','N','점검시간','workPmiList','gridbox','TAPMINSLIST','MEASURE_TIME','DREAM','3.00','LABEL','woTime',to_char(sysdate,'yyyymmddhh24miss'),to_char(sysdate,'yyyymmddhh24miss') ,'Y'  ); </v>
      </c>
      <c r="AW5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5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MEASURETIME','140','woTime','80','timero','center','str','false','LABEL','N','점검시간','workPmiList','gridbox','TAPMINSLIST','MEASURE_TIME','DREAM','3.00','LABEL','woTime',CONVERT(CHAR(8),GETDATE(),112)+REPLACE(CONVERT(CHAR(8),GETDATE(),108),':',''),CONVERT(CHAR(8),GETDATE(),112)+REPLACE(CONVERT(CHAR(8),GETDATE(),108),':','')  ,'Y' ); </v>
      </c>
    </row>
    <row r="6" spans="1:51" x14ac:dyDescent="0.3">
      <c r="A6" s="64">
        <v>5</v>
      </c>
      <c r="B6" s="66" t="s">
        <v>36</v>
      </c>
      <c r="C6" s="67" t="s">
        <v>42</v>
      </c>
      <c r="D6" s="67" t="s">
        <v>130</v>
      </c>
      <c r="E6" s="67" t="s">
        <v>131</v>
      </c>
      <c r="F6" s="64" t="s">
        <v>309</v>
      </c>
      <c r="G6" s="64" t="s">
        <v>68</v>
      </c>
      <c r="H6" s="64"/>
      <c r="I6" s="67" t="s">
        <v>63</v>
      </c>
      <c r="J6" s="72" t="s">
        <v>453</v>
      </c>
      <c r="K6" s="64" t="s">
        <v>144</v>
      </c>
      <c r="L6" s="64" t="s">
        <v>145</v>
      </c>
      <c r="M6" s="64" t="s">
        <v>146</v>
      </c>
      <c r="N6" s="64" t="s">
        <v>138</v>
      </c>
      <c r="O6" s="64" t="s">
        <v>44</v>
      </c>
      <c r="P6" s="64" t="s">
        <v>38</v>
      </c>
      <c r="Q6" s="64" t="s">
        <v>55</v>
      </c>
      <c r="R6" s="64" t="s">
        <v>70</v>
      </c>
      <c r="S6" s="67" t="s">
        <v>39</v>
      </c>
      <c r="T6" s="68" t="s">
        <v>405</v>
      </c>
      <c r="U6" s="65" t="s">
        <v>349</v>
      </c>
      <c r="V6" s="65" t="s">
        <v>423</v>
      </c>
      <c r="X6" s="11" t="str">
        <f t="shared" si="0"/>
        <v xml:space="preserve"> (select page_id from tapage where file_name='workPmiList') </v>
      </c>
      <c r="Y6" s="1" t="s">
        <v>33</v>
      </c>
      <c r="Z6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6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6" s="1" t="s">
        <v>33</v>
      </c>
      <c r="AC6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6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6" s="1" t="s">
        <v>33</v>
      </c>
      <c r="AF6" s="11" t="str">
        <f t="shared" si="5"/>
        <v xml:space="preserve"> (select pggrid_id from tapggrid where page_id =  (select page_id from tapage where file_name='workPmiList')   and grid_obj_id = 'gridbox' )</v>
      </c>
      <c r="AG6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6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6" s="1" t="s">
        <v>33</v>
      </c>
      <c r="AJ6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),'PMIDESC','150','pmiDesc','300','ro','left','str','false','LABEL','N','점검명','workPmiList','gridbox','TAPMINSLIST','DESCRIPTION','DREAM','3.00','LABEL','pmiDesc',to_char(sysdate,'yyyymmddhh24miss'),to_char(sysdate,'yyyymmddhh24miss'),'Y' ); </v>
      </c>
      <c r="AK6" s="11" t="str">
        <f t="shared" si="9"/>
        <v xml:space="preserve"> update tapggridcol set ord_no ='150' , key_type = 'LABEL', key_no ='pmiDesc' , site_type ='DREAM', version_info ='3.00' , basic_key_type ='LABEL' , basic_key_no ='pmiDesc', width='300' ,type='ro' ,align='left' ,sort='str' ,hidden='false' ,system_col='N' ,display_yn='Y' ,description='점검명' ,file_name='workPmiList' ,grid_obj_id='gridbox' ,table_name='TAPMINSLIST' ,column_name='DESCRIPTION' , upd_date =to_char(sysdate,'yyyymmddhh24miss')  where pggrid_id = (select pggrid_id from tapggrid where page_id =  (select page_id from tapage where file_name='workPmiList')   and grid_obj_id = 'gridbox' ) and column_id = 'PMIDESC' ; </v>
      </c>
      <c r="AL6" s="1" t="s">
        <v>33</v>
      </c>
      <c r="AM6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IDESC','150','pmiDesc','300','ro','left','str','false','LABEL','N','점검명','workPmiList','gridbox','TAPMINSLIST','DESCRIPTION','DREAM','3.00','LABEL','pmiDesc',CONVERT(CHAR(8),GETDATE(),112)+REPLACE(CONVERT(CHAR(8),GETDATE(),108),':',''),CONVERT(CHAR(8),GETDATE(),112)+REPLACE(CONVERT(CHAR(8),GETDATE(),108),':','') ,'Y' ); </v>
      </c>
      <c r="AN6" s="11" t="str">
        <f t="shared" si="11"/>
        <v xml:space="preserve"> update tapggridcol set ord_no ='150' , key_type = 'LABEL', key_no ='pmiDesc' , site_type ='DREAM', version_info ='3.00' , basic_key_type ='LABEL' , basic_key_no ='pmiDesc', width='300' ,type='ro' ,align='left' ,sort='str' ,hidden='false' ,system_col='N',display_yn='Y'  ,description='점검명' ,file_name='workPmiList' ,grid_obj_id='gridbox' ,table_name='TAPMINSLIST' ,column_name='DESCRIPTION' , upd_date =CONVERT(CHAR(8),GETDATE(),112)+REPLACE(CONVERT(CHAR(8),GETDATE(),108),':','')  where pggrid_id = (select pggrid_id from tapggrid where page_id =  (select page_id from tapage where file_name='workPmiList')   and grid_obj_id = 'gridbox' ) and column_id = 'PMIDESC' ; </v>
      </c>
      <c r="AO6" s="1" t="s">
        <v>33</v>
      </c>
      <c r="AP6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6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),'PMIDESC','150','pmiDesc','300','ro','left','str','true','LABEL','N','점검명','workPmiList','gridbox','TAPMINSLIST','DESCRIPTION','DREAM','3.00','LABEL','pmiDesc',to_char(sysdate,'yyyymmddhh24miss'),to_char(sysdate,'yyyymmddhh24miss')  ,'Y' ); </v>
      </c>
      <c r="AR6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6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IDESC','150','pmiDesc','300','ro','left','str','true','LABEL','N','점검명','workPmiList','gridbox','TAPMINSLIST','DESCRIPTION','DREAM','3.00','LABEL','pmiDesc',CONVERT(CHAR(8),GETDATE(),112)+REPLACE(CONVERT(CHAR(8),GETDATE(),108),':',''),CONVERT(CHAR(8),GETDATE(),112)+REPLACE(CONVERT(CHAR(8),GETDATE(),108),':','')  ,'Y' ); </v>
      </c>
      <c r="AT6" s="1" t="s">
        <v>33</v>
      </c>
      <c r="AU6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6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),'PMIDESC','150','pmiDesc','300','ro','left','str','false','LABEL','N','점검명','workPmiList','gridbox','TAPMINSLIST','DESCRIPTION','DREAM','3.00','LABEL','pmiDesc',to_char(sysdate,'yyyymmddhh24miss'),to_char(sysdate,'yyyymmddhh24miss') ,'Y'  ); </v>
      </c>
      <c r="AW6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6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IDESC','150','pmiDesc','300','ro','left','str','false','LABEL','N','점검명','workPmiList','gridbox','TAPMINSLIST','DESCRIPTION','DREAM','3.00','LABEL','pmiDesc',CONVERT(CHAR(8),GETDATE(),112)+REPLACE(CONVERT(CHAR(8),GETDATE(),108),':',''),CONVERT(CHAR(8),GETDATE(),112)+REPLACE(CONVERT(CHAR(8),GETDATE(),108),':','')  ,'Y' ); </v>
      </c>
    </row>
    <row r="7" spans="1:51" x14ac:dyDescent="0.3">
      <c r="A7" s="64">
        <v>6</v>
      </c>
      <c r="B7" s="66" t="s">
        <v>36</v>
      </c>
      <c r="C7" s="67" t="s">
        <v>42</v>
      </c>
      <c r="D7" s="67" t="s">
        <v>130</v>
      </c>
      <c r="E7" s="67" t="s">
        <v>131</v>
      </c>
      <c r="F7" s="64" t="s">
        <v>384</v>
      </c>
      <c r="G7" s="64" t="s">
        <v>154</v>
      </c>
      <c r="H7" s="64"/>
      <c r="I7" s="67" t="s">
        <v>66</v>
      </c>
      <c r="J7" s="64" t="s">
        <v>399</v>
      </c>
      <c r="K7" s="64" t="s">
        <v>144</v>
      </c>
      <c r="L7" s="64" t="s">
        <v>145</v>
      </c>
      <c r="M7" s="64" t="s">
        <v>146</v>
      </c>
      <c r="N7" s="64" t="s">
        <v>138</v>
      </c>
      <c r="O7" s="64" t="s">
        <v>44</v>
      </c>
      <c r="P7" s="64" t="s">
        <v>38</v>
      </c>
      <c r="Q7" s="64" t="s">
        <v>55</v>
      </c>
      <c r="R7" s="64" t="s">
        <v>155</v>
      </c>
      <c r="S7" s="67" t="s">
        <v>39</v>
      </c>
      <c r="T7" s="68" t="s">
        <v>405</v>
      </c>
      <c r="U7" s="65" t="s">
        <v>426</v>
      </c>
      <c r="V7" s="65" t="s">
        <v>427</v>
      </c>
      <c r="X7" s="11" t="str">
        <f t="shared" si="0"/>
        <v xml:space="preserve"> (select page_id from tapage where file_name='workPmiList') </v>
      </c>
      <c r="Y7" s="1" t="s">
        <v>33</v>
      </c>
      <c r="Z7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7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7" s="1" t="s">
        <v>33</v>
      </c>
      <c r="AC7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7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7" s="1" t="s">
        <v>33</v>
      </c>
      <c r="AF7" s="11" t="str">
        <f t="shared" si="5"/>
        <v xml:space="preserve"> (select pggrid_id from tapggrid where page_id =  (select page_id from tapage where file_name='workPmiList')   and grid_obj_id = 'gridbox' )</v>
      </c>
      <c r="AG7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7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7" s="1" t="s">
        <v>33</v>
      </c>
      <c r="AJ7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),'ITEMNO','160','equipNo','120','ro','left','str','false','LABEL','N','설비번호','workPmiList','gridbox','TAEQUIPMENT','ITEM_NO','DREAM','3.00','LABEL','equipNo',to_char(sysdate,'yyyymmddhh24miss'),to_char(sysdate,'yyyymmddhh24miss'),'Y' ); </v>
      </c>
      <c r="AK7" s="11" t="str">
        <f t="shared" si="9"/>
        <v xml:space="preserve"> update tapggridcol set ord_no ='160' , key_type = 'LABEL', key_no ='equipNo' , site_type ='DREAM', version_info ='3.00' , basic_key_type ='LABEL' , basic_key_no ='equipNo', width='120' ,type='ro' ,align='left' ,sort='str' ,hidden='false' ,system_col='N' ,display_yn='Y' ,description='설비번호' ,file_name='workPmiList' ,grid_obj_id='gridbox' ,table_name='TAEQUIPMENT' ,column_name='ITEM_NO' , upd_date =to_char(sysdate,'yyyymmddhh24miss')  where pggrid_id = (select pggrid_id from tapggrid where page_id =  (select page_id from tapage where file_name='workPmiList')   and grid_obj_id = 'gridbox' ) and column_id = 'ITEMNO' ; </v>
      </c>
      <c r="AL7" s="1" t="s">
        <v>33</v>
      </c>
      <c r="AM7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ITEMNO','160','equipNo','120','ro','left','str','false','LABEL','N','설비번호','workPmiList','gridbox','TAEQUIPMENT','ITEM_NO','DREAM','3.00','LABEL','equipNo',CONVERT(CHAR(8),GETDATE(),112)+REPLACE(CONVERT(CHAR(8),GETDATE(),108),':',''),CONVERT(CHAR(8),GETDATE(),112)+REPLACE(CONVERT(CHAR(8),GETDATE(),108),':','') ,'Y' ); </v>
      </c>
      <c r="AN7" s="11" t="str">
        <f t="shared" si="11"/>
        <v xml:space="preserve"> update tapggridcol set ord_no ='160' , key_type = 'LABEL', key_no ='equipNo' , site_type ='DREAM', version_info ='3.00' , basic_key_type ='LABEL' , basic_key_no ='equipNo', width='120' ,type='ro' ,align='left' ,sort='str' ,hidden='false' ,system_col='N',display_yn='Y'  ,description='설비번호' ,file_name='workPmiList' ,grid_obj_id='gridbox' ,table_name='TAEQUIPMENT' ,column_name='ITEM_NO' , upd_date =CONVERT(CHAR(8),GETDATE(),112)+REPLACE(CONVERT(CHAR(8),GETDATE(),108),':','')  where pggrid_id = (select pggrid_id from tapggrid where page_id =  (select page_id from tapage where file_name='workPmiList')   and grid_obj_id = 'gridbox' ) and column_id = 'ITEMNO' ; </v>
      </c>
      <c r="AO7" s="1" t="s">
        <v>33</v>
      </c>
      <c r="AP7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7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),'ITEMNO','160','equipNo','120','ro','left','str','true','LABEL','N','설비번호','workPmiList','gridbox','TAEQUIPMENT','ITEM_NO','DREAM','3.00','LABEL','equipNo',to_char(sysdate,'yyyymmddhh24miss'),to_char(sysdate,'yyyymmddhh24miss')  ,'Y' ); </v>
      </c>
      <c r="AR7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7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ITEMNO','160','equipNo','120','ro','left','str','true','LABEL','N','설비번호','workPmiList','gridbox','TAEQUIPMENT','ITEM_NO','DREAM','3.00','LABEL','equipNo',CONVERT(CHAR(8),GETDATE(),112)+REPLACE(CONVERT(CHAR(8),GETDATE(),108),':',''),CONVERT(CHAR(8),GETDATE(),112)+REPLACE(CONVERT(CHAR(8),GETDATE(),108),':','')  ,'Y' ); </v>
      </c>
      <c r="AT7" s="1" t="s">
        <v>33</v>
      </c>
      <c r="AU7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7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),'ITEMNO','160','equipNo','120','ro','left','str','false','LABEL','N','설비번호','workPmiList','gridbox','TAEQUIPMENT','ITEM_NO','DREAM','3.00','LABEL','equipNo',to_char(sysdate,'yyyymmddhh24miss'),to_char(sysdate,'yyyymmddhh24miss') ,'Y'  ); </v>
      </c>
      <c r="AW7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7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ITEMNO','160','equipNo','120','ro','left','str','false','LABEL','N','설비번호','workPmiList','gridbox','TAEQUIPMENT','ITEM_NO','DREAM','3.00','LABEL','equipNo',CONVERT(CHAR(8),GETDATE(),112)+REPLACE(CONVERT(CHAR(8),GETDATE(),108),':',''),CONVERT(CHAR(8),GETDATE(),112)+REPLACE(CONVERT(CHAR(8),GETDATE(),108),':','')  ,'Y' ); </v>
      </c>
    </row>
    <row r="8" spans="1:51" x14ac:dyDescent="0.3">
      <c r="A8" s="64">
        <v>7</v>
      </c>
      <c r="B8" s="66" t="s">
        <v>36</v>
      </c>
      <c r="C8" s="67" t="s">
        <v>42</v>
      </c>
      <c r="D8" s="67" t="s">
        <v>130</v>
      </c>
      <c r="E8" s="67" t="s">
        <v>131</v>
      </c>
      <c r="F8" s="64" t="s">
        <v>158</v>
      </c>
      <c r="G8" s="64" t="s">
        <v>157</v>
      </c>
      <c r="H8" s="64"/>
      <c r="I8" s="67" t="s">
        <v>69</v>
      </c>
      <c r="J8" s="72" t="s">
        <v>453</v>
      </c>
      <c r="K8" s="64" t="s">
        <v>144</v>
      </c>
      <c r="L8" s="64" t="s">
        <v>145</v>
      </c>
      <c r="M8" s="64" t="s">
        <v>146</v>
      </c>
      <c r="N8" s="64" t="s">
        <v>138</v>
      </c>
      <c r="O8" s="64" t="s">
        <v>44</v>
      </c>
      <c r="P8" s="64" t="s">
        <v>38</v>
      </c>
      <c r="Q8" s="64" t="s">
        <v>55</v>
      </c>
      <c r="R8" s="64" t="s">
        <v>159</v>
      </c>
      <c r="S8" s="67" t="s">
        <v>39</v>
      </c>
      <c r="T8" s="68" t="s">
        <v>405</v>
      </c>
      <c r="U8" s="65" t="s">
        <v>426</v>
      </c>
      <c r="V8" s="65" t="s">
        <v>423</v>
      </c>
      <c r="X8" s="11" t="str">
        <f t="shared" si="0"/>
        <v xml:space="preserve"> (select page_id from tapage where file_name='workPmiList') </v>
      </c>
      <c r="Y8" s="1" t="s">
        <v>33</v>
      </c>
      <c r="Z8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8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8" s="1" t="s">
        <v>33</v>
      </c>
      <c r="AC8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8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8" s="1" t="s">
        <v>33</v>
      </c>
      <c r="AF8" s="11" t="str">
        <f t="shared" si="5"/>
        <v xml:space="preserve"> (select pggrid_id from tapggrid where page_id =  (select page_id from tapage where file_name='workPmiList')   and grid_obj_id = 'gridbox' )</v>
      </c>
      <c r="AG8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8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8" s="1" t="s">
        <v>33</v>
      </c>
      <c r="AJ8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),'EQUIPDESC','170','equipName','300','ro','left','str','false','LABEL','N','설비명','workPmiList','gridbox','TAEQUIPMENT','DESCRIPTION','DREAM','3.00','LABEL','equipName',to_char(sysdate,'yyyymmddhh24miss'),to_char(sysdate,'yyyymmddhh24miss'),'Y' ); </v>
      </c>
      <c r="AK8" s="11" t="str">
        <f t="shared" si="9"/>
        <v xml:space="preserve"> update tapggridcol set ord_no ='170' , key_type = 'LABEL', key_no ='equipName' , site_type ='DREAM', version_info ='3.00' , basic_key_type ='LABEL' , basic_key_no ='equipName', width='300' ,type='ro' ,align='left' ,sort='str' ,hidden='false' ,system_col='N' ,display_yn='Y' ,description='설비명' ,file_name='workPmiList' ,grid_obj_id='gridbox' ,table_name='TAEQUIPMENT' ,column_name='DESCRIPTION' , upd_date =to_char(sysdate,'yyyymmddhh24miss')  where pggrid_id = (select pggrid_id from tapggrid where page_id =  (select page_id from tapage where file_name='workPmiList')   and grid_obj_id = 'gridbox' ) and column_id = 'EQUIPDESC' ; </v>
      </c>
      <c r="AL8" s="1" t="s">
        <v>33</v>
      </c>
      <c r="AM8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QUIPDESC','170','equipName','300','ro','left','str','false','LABEL','N','설비명','workPmiList','gridbox','TAEQUIPMENT','DESCRIPTION','DREAM','3.00','LABEL','equipName',CONVERT(CHAR(8),GETDATE(),112)+REPLACE(CONVERT(CHAR(8),GETDATE(),108),':',''),CONVERT(CHAR(8),GETDATE(),112)+REPLACE(CONVERT(CHAR(8),GETDATE(),108),':','') ,'Y' ); </v>
      </c>
      <c r="AN8" s="11" t="str">
        <f t="shared" si="11"/>
        <v xml:space="preserve"> update tapggridcol set ord_no ='170' , key_type = 'LABEL', key_no ='equipName' , site_type ='DREAM', version_info ='3.00' , basic_key_type ='LABEL' , basic_key_no ='equipName', width='300' ,type='ro' ,align='left' ,sort='str' ,hidden='false' ,system_col='N',display_yn='Y'  ,description='설비명' ,file_name='workPmiList' ,grid_obj_id='gridbox' ,table_name='TAEQUIPMENT' ,column_name='DESCRIPTION' , upd_date =CONVERT(CHAR(8),GETDATE(),112)+REPLACE(CONVERT(CHAR(8),GETDATE(),108),':','')  where pggrid_id = (select pggrid_id from tapggrid where page_id =  (select page_id from tapage where file_name='workPmiList')   and grid_obj_id = 'gridbox' ) and column_id = 'EQUIPDESC' ; </v>
      </c>
      <c r="AO8" s="1" t="s">
        <v>33</v>
      </c>
      <c r="AP8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8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),'EQUIPDESC','170','equipName','300','ro','left','str','true','LABEL','N','설비명','workPmiList','gridbox','TAEQUIPMENT','DESCRIPTION','DREAM','3.00','LABEL','equipName',to_char(sysdate,'yyyymmddhh24miss'),to_char(sysdate,'yyyymmddhh24miss')  ,'Y' ); </v>
      </c>
      <c r="AR8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8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QUIPDESC','170','equipName','300','ro','left','str','true','LABEL','N','설비명','workPmiList','gridbox','TAEQUIPMENT','DESCRIPTION','DREAM','3.00','LABEL','equipName',CONVERT(CHAR(8),GETDATE(),112)+REPLACE(CONVERT(CHAR(8),GETDATE(),108),':',''),CONVERT(CHAR(8),GETDATE(),112)+REPLACE(CONVERT(CHAR(8),GETDATE(),108),':','')  ,'Y' ); </v>
      </c>
      <c r="AT8" s="1" t="s">
        <v>33</v>
      </c>
      <c r="AU8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8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),'EQUIPDESC','170','equipName','300','ro','left','str','false','LABEL','N','설비명','workPmiList','gridbox','TAEQUIPMENT','DESCRIPTION','DREAM','3.00','LABEL','equipName',to_char(sysdate,'yyyymmddhh24miss'),to_char(sysdate,'yyyymmddhh24miss') ,'Y'  ); </v>
      </c>
      <c r="AW8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8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QUIPDESC','170','equipName','300','ro','left','str','false','LABEL','N','설비명','workPmiList','gridbox','TAEQUIPMENT','DESCRIPTION','DREAM','3.00','LABEL','equipName',CONVERT(CHAR(8),GETDATE(),112)+REPLACE(CONVERT(CHAR(8),GETDATE(),108),':',''),CONVERT(CHAR(8),GETDATE(),112)+REPLACE(CONVERT(CHAR(8),GETDATE(),108),':','')  ,'Y' ); </v>
      </c>
    </row>
    <row r="9" spans="1:51" x14ac:dyDescent="0.3">
      <c r="A9" s="64">
        <v>8</v>
      </c>
      <c r="B9" s="66" t="s">
        <v>36</v>
      </c>
      <c r="C9" s="67" t="s">
        <v>42</v>
      </c>
      <c r="D9" s="67" t="s">
        <v>130</v>
      </c>
      <c r="E9" s="67" t="s">
        <v>131</v>
      </c>
      <c r="F9" s="64" t="s">
        <v>156</v>
      </c>
      <c r="G9" s="64" t="s">
        <v>65</v>
      </c>
      <c r="H9" s="64"/>
      <c r="I9" s="67" t="s">
        <v>72</v>
      </c>
      <c r="J9" s="64" t="s">
        <v>63</v>
      </c>
      <c r="K9" s="64" t="s">
        <v>144</v>
      </c>
      <c r="L9" s="64" t="s">
        <v>145</v>
      </c>
      <c r="M9" s="64" t="s">
        <v>146</v>
      </c>
      <c r="N9" s="64" t="s">
        <v>138</v>
      </c>
      <c r="O9" s="64" t="s">
        <v>44</v>
      </c>
      <c r="P9" s="64" t="s">
        <v>38</v>
      </c>
      <c r="Q9" s="64" t="s">
        <v>55</v>
      </c>
      <c r="R9" s="64" t="s">
        <v>67</v>
      </c>
      <c r="S9" s="67" t="s">
        <v>39</v>
      </c>
      <c r="T9" s="68" t="s">
        <v>405</v>
      </c>
      <c r="U9" s="65" t="s">
        <v>428</v>
      </c>
      <c r="V9" s="65" t="s">
        <v>429</v>
      </c>
      <c r="X9" s="11" t="str">
        <f t="shared" si="0"/>
        <v xml:space="preserve"> (select page_id from tapage where file_name='workPmiList') </v>
      </c>
      <c r="Y9" s="1" t="s">
        <v>33</v>
      </c>
      <c r="Z9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9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9" s="1" t="s">
        <v>33</v>
      </c>
      <c r="AC9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9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9" s="1" t="s">
        <v>33</v>
      </c>
      <c r="AF9" s="11" t="str">
        <f t="shared" si="5"/>
        <v xml:space="preserve"> (select pggrid_id from tapggrid where page_id =  (select page_id from tapage where file_name='workPmiList')   and grid_obj_id = 'gridbox' )</v>
      </c>
      <c r="AG9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9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9" s="1" t="s">
        <v>33</v>
      </c>
      <c r="AJ9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),'eqLocDesc','180','location','150','ro','left','str','false','LABEL','N','설비위치','workPmiList','gridbox','TAEQLOC','FULL_DESC','DREAM','3.00','LABEL','location',to_char(sysdate,'yyyymmddhh24miss'),to_char(sysdate,'yyyymmddhh24miss'),'Y' ); </v>
      </c>
      <c r="AK9" s="11" t="str">
        <f t="shared" si="9"/>
        <v xml:space="preserve"> update tapggridcol set ord_no ='180' , key_type = 'LABEL', key_no ='location' , site_type ='DREAM', version_info ='3.00' , basic_key_type ='LABEL' , basic_key_no ='location', width='150' ,type='ro' ,align='left' ,sort='str' ,hidden='false' ,system_col='N' ,display_yn='Y' ,description='설비위치' ,file_name='workPmiList' ,grid_obj_id='gridbox' ,table_name='TAEQLOC' ,column_name='FULL_DESC' , upd_date =to_char(sysdate,'yyyymmddhh24miss')  where pggrid_id = (select pggrid_id from tapggrid where page_id =  (select page_id from tapage where file_name='workPmiList')   and grid_obj_id = 'gridbox' ) and column_id = 'eqLocDesc' ; </v>
      </c>
      <c r="AL9" s="1" t="s">
        <v>33</v>
      </c>
      <c r="AM9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qLocDesc','180','location','150','ro','left','str','false','LABEL','N','설비위치','workPmiList','gridbox','TAEQLOC','FULL_DESC','DREAM','3.00','LABEL','location',CONVERT(CHAR(8),GETDATE(),112)+REPLACE(CONVERT(CHAR(8),GETDATE(),108),':',''),CONVERT(CHAR(8),GETDATE(),112)+REPLACE(CONVERT(CHAR(8),GETDATE(),108),':','') ,'Y' ); </v>
      </c>
      <c r="AN9" s="11" t="str">
        <f t="shared" si="11"/>
        <v xml:space="preserve"> update tapggridcol set ord_no ='180' , key_type = 'LABEL', key_no ='location' , site_type ='DREAM', version_info ='3.00' , basic_key_type ='LABEL' , basic_key_no ='location', width='150' ,type='ro' ,align='left' ,sort='str' ,hidden='false' ,system_col='N',display_yn='Y'  ,description='설비위치' ,file_name='workPmiList' ,grid_obj_id='gridbox' ,table_name='TAEQLOC' ,column_name='FULL_DESC' , upd_date =CONVERT(CHAR(8),GETDATE(),112)+REPLACE(CONVERT(CHAR(8),GETDATE(),108),':','')  where pggrid_id = (select pggrid_id from tapggrid where page_id =  (select page_id from tapage where file_name='workPmiList')   and grid_obj_id = 'gridbox' ) and column_id = 'eqLocDesc' ; </v>
      </c>
      <c r="AO9" s="1" t="s">
        <v>33</v>
      </c>
      <c r="AP9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9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),'eqLocDesc','180','location','150','ro','left','str','true','LABEL','N','설비위치','workPmiList','gridbox','TAEQLOC','FULL_DESC','DREAM','3.00','LABEL','location',to_char(sysdate,'yyyymmddhh24miss'),to_char(sysdate,'yyyymmddhh24miss')  ,'Y' ); </v>
      </c>
      <c r="AR9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9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qLocDesc','180','location','150','ro','left','str','true','LABEL','N','설비위치','workPmiList','gridbox','TAEQLOC','FULL_DESC','DREAM','3.00','LABEL','location',CONVERT(CHAR(8),GETDATE(),112)+REPLACE(CONVERT(CHAR(8),GETDATE(),108),':',''),CONVERT(CHAR(8),GETDATE(),112)+REPLACE(CONVERT(CHAR(8),GETDATE(),108),':','')  ,'Y' ); </v>
      </c>
      <c r="AT9" s="1" t="s">
        <v>33</v>
      </c>
      <c r="AU9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9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),'eqLocDesc','180','location','150','ro','left','str','false','LABEL','N','설비위치','workPmiList','gridbox','TAEQLOC','FULL_DESC','DREAM','3.00','LABEL','location',to_char(sysdate,'yyyymmddhh24miss'),to_char(sysdate,'yyyymmddhh24miss') ,'Y'  ); </v>
      </c>
      <c r="AW9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9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qLocDesc','180','location','150','ro','left','str','false','LABEL','N','설비위치','workPmiList','gridbox','TAEQLOC','FULL_DESC','DREAM','3.00','LABEL','location',CONVERT(CHAR(8),GETDATE(),112)+REPLACE(CONVERT(CHAR(8),GETDATE(),108),':',''),CONVERT(CHAR(8),GETDATE(),112)+REPLACE(CONVERT(CHAR(8),GETDATE(),108),':','')  ,'Y' ); </v>
      </c>
    </row>
    <row r="10" spans="1:51" x14ac:dyDescent="0.3">
      <c r="A10" s="64">
        <v>9</v>
      </c>
      <c r="B10" s="66" t="s">
        <v>36</v>
      </c>
      <c r="C10" s="67" t="s">
        <v>42</v>
      </c>
      <c r="D10" s="67" t="s">
        <v>130</v>
      </c>
      <c r="E10" s="67" t="s">
        <v>131</v>
      </c>
      <c r="F10" s="64" t="s">
        <v>308</v>
      </c>
      <c r="G10" s="64" t="s">
        <v>59</v>
      </c>
      <c r="H10" s="64"/>
      <c r="I10" s="67" t="s">
        <v>74</v>
      </c>
      <c r="J10" s="72" t="s">
        <v>452</v>
      </c>
      <c r="K10" s="64" t="s">
        <v>144</v>
      </c>
      <c r="L10" s="64" t="s">
        <v>145</v>
      </c>
      <c r="M10" s="64" t="s">
        <v>146</v>
      </c>
      <c r="N10" s="64" t="s">
        <v>138</v>
      </c>
      <c r="O10" s="64" t="s">
        <v>44</v>
      </c>
      <c r="P10" s="64" t="s">
        <v>38</v>
      </c>
      <c r="Q10" s="64" t="s">
        <v>55</v>
      </c>
      <c r="R10" s="64" t="s">
        <v>61</v>
      </c>
      <c r="S10" s="67" t="s">
        <v>39</v>
      </c>
      <c r="T10" s="68" t="s">
        <v>405</v>
      </c>
      <c r="U10" s="65" t="s">
        <v>349</v>
      </c>
      <c r="V10" s="65" t="s">
        <v>434</v>
      </c>
      <c r="X10" s="11" t="str">
        <f t="shared" si="0"/>
        <v xml:space="preserve"> (select page_id from tapage where file_name='workPmiList') </v>
      </c>
      <c r="Y10" s="1" t="s">
        <v>33</v>
      </c>
      <c r="Z10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0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0" s="1" t="s">
        <v>33</v>
      </c>
      <c r="AC10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0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0" s="1" t="s">
        <v>33</v>
      </c>
      <c r="AF10" s="11" t="str">
        <f t="shared" si="5"/>
        <v xml:space="preserve"> (select pggrid_id from tapggrid where page_id =  (select page_id from tapage where file_name='workPmiList')   and grid_obj_id = 'gridbox' )</v>
      </c>
      <c r="AG10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0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0" s="1" t="s">
        <v>33</v>
      </c>
      <c r="AJ10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),'PMTYPEDESC','190','pmType','100','ro','left','str','false','LABEL','N','작업형태','workPmiList','gridbox','TAPMINSLIST','PM_TYPE','DREAM','3.00','LABEL','pmType',to_char(sysdate,'yyyymmddhh24miss'),to_char(sysdate,'yyyymmddhh24miss'),'Y' ); </v>
      </c>
      <c r="AK10" s="11" t="str">
        <f t="shared" si="9"/>
        <v xml:space="preserve"> update tapggridcol set ord_no ='190' , key_type = 'LABEL', key_no ='pmType' , site_type ='DREAM', version_info ='3.00' , basic_key_type ='LABEL' , basic_key_no ='pmType', width='100' ,type='ro' ,align='left' ,sort='str' ,hidden='false' ,system_col='N' ,display_yn='Y' ,description='작업형태' ,file_name='workPmiList' ,grid_obj_id='gridbox' ,table_name='TAPMINSLIST' ,column_name='PM_TYPE' , upd_date =to_char(sysdate,'yyyymmddhh24miss')  where pggrid_id = (select pggrid_id from tapggrid where page_id =  (select page_id from tapage where file_name='workPmiList')   and grid_obj_id = 'gridbox' ) and column_id = 'PMTYPEDESC' ; </v>
      </c>
      <c r="AL10" s="1" t="s">
        <v>33</v>
      </c>
      <c r="AM10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TYPEDESC','190','pmType','100','ro','left','str','false','LABEL','N','작업형태','workPmiList','gridbox','TAPMINSLIST','PM_TYPE','DREAM','3.00','LABEL','pmType',CONVERT(CHAR(8),GETDATE(),112)+REPLACE(CONVERT(CHAR(8),GETDATE(),108),':',''),CONVERT(CHAR(8),GETDATE(),112)+REPLACE(CONVERT(CHAR(8),GETDATE(),108),':','') ,'Y' ); </v>
      </c>
      <c r="AN10" s="11" t="str">
        <f t="shared" si="11"/>
        <v xml:space="preserve"> update tapggridcol set ord_no ='190' , key_type = 'LABEL', key_no ='pmType' , site_type ='DREAM', version_info ='3.00' , basic_key_type ='LABEL' , basic_key_no ='pmType', width='100' ,type='ro' ,align='left' ,sort='str' ,hidden='false' ,system_col='N',display_yn='Y'  ,description='작업형태' ,file_name='workPmiList' ,grid_obj_id='gridbox' ,table_name='TAPMINSLIST' ,column_name='PM_TYPE' , upd_date =CONVERT(CHAR(8),GETDATE(),112)+REPLACE(CONVERT(CHAR(8),GETDATE(),108),':','')  where pggrid_id = (select pggrid_id from tapggrid where page_id =  (select page_id from tapage where file_name='workPmiList')   and grid_obj_id = 'gridbox' ) and column_id = 'PMTYPEDESC' ; </v>
      </c>
      <c r="AO10" s="1" t="s">
        <v>33</v>
      </c>
      <c r="AP10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0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),'PMTYPEDESC','190','pmType','100','ro','left','str','true','LABEL','N','작업형태','workPmiList','gridbox','TAPMINSLIST','PM_TYPE','DREAM','3.00','LABEL','pmType',to_char(sysdate,'yyyymmddhh24miss'),to_char(sysdate,'yyyymmddhh24miss')  ,'Y' ); </v>
      </c>
      <c r="AR10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0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TYPEDESC','190','pmType','100','ro','left','str','true','LABEL','N','작업형태','workPmiList','gridbox','TAPMINSLIST','PM_TYPE','DREAM','3.00','LABEL','pmType',CONVERT(CHAR(8),GETDATE(),112)+REPLACE(CONVERT(CHAR(8),GETDATE(),108),':',''),CONVERT(CHAR(8),GETDATE(),112)+REPLACE(CONVERT(CHAR(8),GETDATE(),108),':','')  ,'Y' ); </v>
      </c>
      <c r="AT10" s="1" t="s">
        <v>33</v>
      </c>
      <c r="AU10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0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),'PMTYPEDESC','190','pmType','100','ro','left','str','false','LABEL','N','작업형태','workPmiList','gridbox','TAPMINSLIST','PM_TYPE','DREAM','3.00','LABEL','pmType',to_char(sysdate,'yyyymmddhh24miss'),to_char(sysdate,'yyyymmddhh24miss') ,'Y'  ); </v>
      </c>
      <c r="AW10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0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TYPEDESC','190','pmType','100','ro','left','str','false','LABEL','N','작업형태','workPmiList','gridbox','TAPMINSLIST','PM_TYPE','DREAM','3.00','LABEL','pmType',CONVERT(CHAR(8),GETDATE(),112)+REPLACE(CONVERT(CHAR(8),GETDATE(),108),':',''),CONVERT(CHAR(8),GETDATE(),112)+REPLACE(CONVERT(CHAR(8),GETDATE(),108),':','')  ,'Y' ); </v>
      </c>
    </row>
    <row r="11" spans="1:51" x14ac:dyDescent="0.3">
      <c r="A11" s="64">
        <v>10</v>
      </c>
      <c r="B11" s="66" t="s">
        <v>36</v>
      </c>
      <c r="C11" s="67" t="s">
        <v>344</v>
      </c>
      <c r="D11" s="67" t="s">
        <v>130</v>
      </c>
      <c r="E11" s="67" t="s">
        <v>131</v>
      </c>
      <c r="F11" s="64" t="s">
        <v>430</v>
      </c>
      <c r="G11" s="64" t="s">
        <v>431</v>
      </c>
      <c r="H11" s="64"/>
      <c r="I11" s="67" t="s">
        <v>78</v>
      </c>
      <c r="J11" s="72" t="s">
        <v>451</v>
      </c>
      <c r="K11" s="64" t="s">
        <v>144</v>
      </c>
      <c r="L11" s="64" t="s">
        <v>145</v>
      </c>
      <c r="M11" s="64" t="s">
        <v>146</v>
      </c>
      <c r="N11" s="64" t="s">
        <v>138</v>
      </c>
      <c r="O11" s="64" t="s">
        <v>44</v>
      </c>
      <c r="P11" s="64" t="s">
        <v>38</v>
      </c>
      <c r="Q11" s="64" t="s">
        <v>55</v>
      </c>
      <c r="R11" s="64" t="s">
        <v>433</v>
      </c>
      <c r="S11" s="67" t="s">
        <v>39</v>
      </c>
      <c r="T11" s="68" t="s">
        <v>405</v>
      </c>
      <c r="U11" s="65" t="s">
        <v>349</v>
      </c>
      <c r="V11" s="65" t="s">
        <v>435</v>
      </c>
      <c r="X11" s="11" t="str">
        <f t="shared" ref="X11" si="20">" (select page_id from tapage where file_name='"&amp;C11&amp;"') "</f>
        <v xml:space="preserve"> (select page_id from tapage where file_name='workPmiList') </v>
      </c>
      <c r="Y11" s="1" t="s">
        <v>33</v>
      </c>
      <c r="Z11" s="11" t="str">
        <f t="shared" ref="Z11" si="21">" insert into tapggrid(pggrid_id,page_id,grid_obj_id,description,height,file_name,site_type,version_info,cre_date,upd_date) values( sqapggrid_id.nextval,"&amp;X11&amp;",'"&amp;D11&amp;"', (select description from tapage where file_name = '"&amp;C11&amp;"') ,'"&amp;E11&amp;"','"&amp;C11&amp;"','"&amp;S11&amp;"','"&amp;T11&amp;"',to_char(sysdate,'yyyymmddhh24miss'),to_char(sysdate,'yyyymmddhh24miss'));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1" s="11" t="str">
        <f t="shared" ref="AA11" si="22">" update tapggrid set height  = '"&amp;E11&amp;"', file_name  = '"&amp;C11&amp;"', site_type  = '"&amp;S11&amp;"', version_info  = '"&amp;T11&amp;"',  upd_date  = to_char(sysdate,'yyyymmddhh24miss') where page_id   = "&amp;X11&amp;" and grid_obj_id   = '"&amp;D11&amp;"'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1" s="1" t="s">
        <v>33</v>
      </c>
      <c r="AC11" s="11" t="str">
        <f t="shared" ref="AC11" si="23">" insert into tapggrid(pggrid_id,page_id,grid_obj_id,description,height,file_name,site_type,version_info,cre_date,upd_date) values( next value for sqapggrid_id,"&amp;X11&amp;",'"&amp;D11&amp;"', (select description from tapage where file_name = '"&amp;C11&amp;"') ,'"&amp;E11&amp;"','"&amp;C11&amp;"','"&amp;S11&amp;"','"&amp;T11&amp;"',CONVERT(CHAR(8),GETDATE(),112)+REPLACE(CONVERT(CHAR(8),GETDATE(),108),':',''),CONVERT(CHAR(8),GETDATE(),112)+REPLACE(CONVERT(CHAR(8),GETDATE(),108),':',''));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1" s="11" t="str">
        <f t="shared" ref="AD11" si="24" xml:space="preserve"> "update tapggrid set height  = '"&amp;E11&amp;"', file_name  = '"&amp;C11&amp;"', site_type  = '"&amp;S11&amp;"', version_info  = '"&amp;T11&amp;"',  upd_date  = CONVERT(CHAR(8),GETDATE(),112)+REPLACE(CONVERT(CHAR(8),GETDATE(),108),':','') where page_id   = "&amp;X11&amp;" and grid_obj_id   = '"&amp;D11&amp;"'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1" s="1" t="s">
        <v>33</v>
      </c>
      <c r="AF11" s="11" t="str">
        <f t="shared" ref="AF11" si="25">" (select pggrid_id from tapggrid where page_id = "&amp;X11&amp;"  and grid_obj_id = '"&amp;D11&amp;"' )"</f>
        <v xml:space="preserve"> (select pggrid_id from tapggrid where page_id =  (select page_id from tapage where file_name='workPmiList')   and grid_obj_id = 'gridbox' )</v>
      </c>
      <c r="AG11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1" s="11" t="str">
        <f t="shared" ref="AH11" si="26">AG11&amp;",display_yn)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1" s="1" t="s">
        <v>33</v>
      </c>
      <c r="AJ11" s="11" t="str">
        <f t="shared" ref="AJ11" si="27">AH11&amp;" values( sqapggridcol_id.nextval ,"&amp;AF11&amp;",'"&amp;F11&amp;"','"&amp;I11&amp;"','"&amp;R11&amp;"','"&amp;J11&amp;"','"&amp;K11&amp;"','"&amp;L11&amp;"','"&amp;M11&amp;"','"&amp;N11&amp;"','"&amp;Q11&amp;"','"&amp;O11&amp;"','"&amp;G11&amp;"','"&amp;C11&amp;"','"&amp;D11&amp;"','"&amp;U11&amp;"','"&amp;V11&amp;"','"&amp;S11&amp;"','"&amp;T11&amp;"','"&amp;Q11&amp;"','"&amp;R11&amp;"',to_char(sysdate,'yyyymmddhh24miss'),to_char(sysdate,'yyyymmddhh24miss'),'"&amp;P11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),'PLANTDESC','200','plant','120','ro','left','str','false','LABEL','N','공장','workPmiList','gridbox','TAPMINSLIST','PLANT','DREAM','3.00','LABEL','plant',to_char(sysdate,'yyyymmddhh24miss'),to_char(sysdate,'yyyymmddhh24miss'),'Y' ); </v>
      </c>
      <c r="AK11" s="11" t="str">
        <f t="shared" ref="AK11" si="28">" update tapggridcol set ord_no ='"&amp;I11&amp;"' , key_type = '"&amp;Q11&amp;"', key_no ='"&amp;R11&amp;"' , site_type ='"&amp;S11&amp;"', version_info ='"&amp;T11&amp;"' , basic_key_type ='"&amp;Q11&amp;"' , basic_key_no ='"&amp;R11&amp;"', width='"&amp;J11&amp;"' ,type='"&amp;K11&amp;"' ,align='"&amp;L11&amp;"' ,sort='"&amp;M11&amp;"' ,hidden='"&amp;N11&amp;"' ,system_col='"&amp;O11&amp;"' ,display_yn='"&amp;P11&amp;"' ,description='"&amp;G11&amp;"' ,file_name='"&amp;C11&amp;"' ,grid_obj_id='"&amp;D11&amp;"' ,table_name='"&amp;U11&amp;"' ,column_name='"&amp;V11&amp;"' , upd_date =to_char(sysdate,'yyyymmddhh24miss')  where pggrid_id ="&amp;AF11&amp;" and column_id = '"&amp;F11&amp;"' ; "</f>
        <v xml:space="preserve"> update tapggridcol set ord_no ='200' , key_type = 'LABEL', key_no ='plant' , site_type ='DREAM', version_info ='3.00' , basic_key_type ='LABEL' , basic_key_no ='plant', width='120' ,type='ro' ,align='left' ,sort='str' ,hidden='false' ,system_col='N' ,display_yn='Y' ,description='공장' ,file_name='workPmiList' ,grid_obj_id='gridbox' ,table_name='TAPMINSLIST' ,column_name='PLANT' , upd_date =to_char(sysdate,'yyyymmddhh24miss')  where pggrid_id = (select pggrid_id from tapggrid where page_id =  (select page_id from tapage where file_name='workPmiList')   and grid_obj_id = 'gridbox' ) and column_id = 'PLANTDESC' ; </v>
      </c>
      <c r="AL11" s="1" t="s">
        <v>33</v>
      </c>
      <c r="AM11" s="11" t="str">
        <f t="shared" ref="AM11" si="29">AH11&amp;" values( next value for sqapggridcol_id ,"&amp;AF11&amp;",'"&amp;F11&amp;"','"&amp;I11&amp;"','"&amp;R11&amp;"','"&amp;J11&amp;"','"&amp;K11&amp;"','"&amp;L11&amp;"','"&amp;M11&amp;"','"&amp;N11&amp;"','"&amp;Q11&amp;"','"&amp;O11&amp;"','"&amp;G11&amp;"','"&amp;C11&amp;"','"&amp;D11&amp;"','"&amp;U11&amp;"','"&amp;V11&amp;"','"&amp;S11&amp;"','"&amp;T11&amp;"','"&amp;Q11&amp;"','"&amp;R11&amp;"',CONVERT(CHAR(8),GETDATE(),112)+REPLACE(CONVERT(CHAR(8),GETDATE(),108),':',''),CONVERT(CHAR(8),GETDATE(),112)+REPLACE(CONVERT(CHAR(8),GETDATE(),108),':','') ,'"&amp;P11&amp;"'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LANTDESC','200','plant','120','ro','left','str','false','LABEL','N','공장','workPmiList','gridbox','TAPMINSLIST','PLANT','DREAM','3.00','LABEL','plant',CONVERT(CHAR(8),GETDATE(),112)+REPLACE(CONVERT(CHAR(8),GETDATE(),108),':',''),CONVERT(CHAR(8),GETDATE(),112)+REPLACE(CONVERT(CHAR(8),GETDATE(),108),':','') ,'Y' ); </v>
      </c>
      <c r="AN11" s="11" t="str">
        <f t="shared" ref="AN11" si="30">" update tapggridcol set ord_no ='"&amp;I11&amp;"' , key_type = '"&amp;Q11&amp;"', key_no ='"&amp;R11&amp;"' , site_type ='"&amp;S11&amp;"', version_info ='"&amp;T11&amp;"' , basic_key_type ='"&amp;Q11&amp;"' , basic_key_no ='"&amp;R11&amp;"', width='"&amp;J11&amp;"' ,type='"&amp;K11&amp;"' ,align='"&amp;L11&amp;"' ,sort='"&amp;M11&amp;"' ,hidden='"&amp;N11&amp;"' ,system_col='"&amp;O11&amp;"',display_yn='"&amp;P11&amp;"'  ,description='"&amp;G11&amp;"' ,file_name='"&amp;C11&amp;"' ,grid_obj_id='"&amp;D11&amp;"' ,table_name='"&amp;U11&amp;"' ,column_name='"&amp;V11&amp;"' , upd_date =CONVERT(CHAR(8),GETDATE(),112)+REPLACE(CONVERT(CHAR(8),GETDATE(),108),':','')  where pggrid_id ="&amp;AF11&amp;" and column_id = '"&amp;F11&amp;"' ; "</f>
        <v xml:space="preserve"> update tapggridcol set ord_no ='200' , key_type = 'LABEL', key_no ='plant' , site_type ='DREAM', version_info ='3.00' , basic_key_type ='LABEL' , basic_key_no ='plant', width='120' ,type='ro' ,align='left' ,sort='str' ,hidden='false' ,system_col='N',display_yn='Y'  ,description='공장' ,file_name='workPmiList' ,grid_obj_id='gridbox' ,table_name='TAPMINSLIST' ,column_name='PLANT' , upd_date =CONVERT(CHAR(8),GETDATE(),112)+REPLACE(CONVERT(CHAR(8),GETDATE(),108),':','')  where pggrid_id = (select pggrid_id from tapggrid where page_id =  (select page_id from tapage where file_name='workPmiList')   and grid_obj_id = 'gridbox' ) and column_id = 'PLANTDESC' ; </v>
      </c>
      <c r="AO11" s="1" t="s">
        <v>33</v>
      </c>
      <c r="AP11" s="11" t="str">
        <f t="shared" ref="AP11" si="31">" insert into tapggrid(pggrid_id,page_id,grid_obj_id,description,height,file_name,site_type,version_info,cre_date,upd_date) values( sqapggrid_id.nextval,"&amp;X11&amp;",'"&amp;D11&amp;"', (select description from tapage where file_name = '"&amp;C11&amp;"') ,'"&amp;E11&amp;"','"&amp;C11&amp;"','"&amp;S11&amp;"','"&amp;T11&amp;"',to_char(sysdate,'yyyymmddhh24miss'),to_char(sysdate,'yyyymmddhh24miss'));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1" s="11" t="str">
        <f t="shared" ref="AQ11" si="32">AH11&amp;" values( sqapggridcol_id.nextval ,"&amp;AF11&amp;",'"&amp;F11&amp;"','"&amp;I11&amp;"','"&amp;R11&amp;"','"&amp;J11&amp;"','"&amp;K11&amp;"','"&amp;L11&amp;"','"&amp;M11&amp;"','true','"&amp;Q11&amp;"','"&amp;O11&amp;"','"&amp;G11&amp;"','"&amp;C11&amp;"','"&amp;D11&amp;"','"&amp;U11&amp;"','"&amp;V11&amp;"','"&amp;S11&amp;"','"&amp;T11&amp;"','"&amp;Q11&amp;"','"&amp;R11&amp;"',to_char(sysdate,'yyyymmddhh24miss'),to_char(sysdate,'yyyymmddhh24miss')  ,'"&amp;P11&amp;"'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),'PLANTDESC','200','plant','120','ro','left','str','true','LABEL','N','공장','workPmiList','gridbox','TAPMINSLIST','PLANT','DREAM','3.00','LABEL','plant',to_char(sysdate,'yyyymmddhh24miss'),to_char(sysdate,'yyyymmddhh24miss')  ,'Y' ); </v>
      </c>
      <c r="AR11" s="11" t="str">
        <f t="shared" ref="AR11" si="33">" insert into tapggrid(pggrid_id,page_id,grid_obj_id,description,height,file_name,site_type,version_info,cre_date,upd_date) values( next value for sqapggrid_id,"&amp;X11&amp;",'"&amp;D11&amp;"', (select description from tapage where file_name = '"&amp;C11&amp;"') ,'"&amp;E11&amp;"','"&amp;C11&amp;"','"&amp;S11&amp;"','"&amp;T11&amp;"',CONVERT(CHAR(8),GETDATE(),112)+REPLACE(CONVERT(CHAR(8),GETDATE(),108),':',''),CONVERT(CHAR(8),GETDATE(),112)+REPLACE(CONVERT(CHAR(8),GETDATE(),108),':',''));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1" s="11" t="str">
        <f t="shared" ref="AS11" si="34">AH11&amp;" values( next value for sqapggridcol_id ,"&amp;AF11&amp;",'"&amp;F11&amp;"','"&amp;I11&amp;"','"&amp;R11&amp;"','"&amp;J11&amp;"','"&amp;K11&amp;"','"&amp;L11&amp;"','"&amp;M11&amp;"','true','"&amp;Q11&amp;"','"&amp;O11&amp;"','"&amp;G11&amp;"','"&amp;C11&amp;"','"&amp;D11&amp;"','"&amp;U11&amp;"','"&amp;V11&amp;"','"&amp;S11&amp;"','"&amp;T11&amp;"','"&amp;Q11&amp;"','"&amp;R11&amp;"',CONVERT(CHAR(8),GETDATE(),112)+REPLACE(CONVERT(CHAR(8),GETDATE(),108),':',''),CONVERT(CHAR(8),GETDATE(),112)+REPLACE(CONVERT(CHAR(8),GETDATE(),108),':','')  ,'"&amp;P11&amp;"'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LANTDESC','200','plant','120','ro','left','str','true','LABEL','N','공장','workPmiList','gridbox','TAPMINSLIST','PLANT','DREAM','3.00','LABEL','plant',CONVERT(CHAR(8),GETDATE(),112)+REPLACE(CONVERT(CHAR(8),GETDATE(),108),':',''),CONVERT(CHAR(8),GETDATE(),112)+REPLACE(CONVERT(CHAR(8),GETDATE(),108),':','')  ,'Y' ); </v>
      </c>
      <c r="AT11" s="1" t="s">
        <v>33</v>
      </c>
      <c r="AU11" s="11" t="str">
        <f t="shared" ref="AU11" si="35">" insert into tapggrid(pggrid_id,page_id,grid_obj_id,description,height,file_name,site_type,version_info,cre_date,upd_date) values( sqapggrid_id.nextval,"&amp;X11&amp;",'"&amp;D11&amp;"', (select description from tapage where file_name = '"&amp;C11&amp;"') ,'"&amp;E11&amp;"','"&amp;C11&amp;"','"&amp;S11&amp;"','"&amp;T11&amp;"',to_char(sysdate,'yyyymmddhh24miss'),to_char(sysdate,'yyyymmddhh24miss'));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1" s="11" t="str">
        <f t="shared" ref="AV11" si="36">AH11&amp;" values( sqapggridcol_id.nextval ,"&amp;AF11&amp;",'"&amp;F11&amp;"','"&amp;I11&amp;"','"&amp;R11&amp;"','"&amp;J11&amp;"','"&amp;K11&amp;"','"&amp;L11&amp;"','"&amp;M11&amp;"','false','"&amp;Q11&amp;"','"&amp;O11&amp;"','"&amp;G11&amp;"','"&amp;C11&amp;"','"&amp;D11&amp;"','"&amp;U11&amp;"','"&amp;V11&amp;"','"&amp;S11&amp;"','"&amp;T11&amp;"','"&amp;Q11&amp;"','"&amp;R11&amp;"',to_char(sysdate,'yyyymmddhh24miss'),to_char(sysdate,'yyyymmddhh24miss') ,'"&amp;P11&amp;"'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),'PLANTDESC','200','plant','120','ro','left','str','false','LABEL','N','공장','workPmiList','gridbox','TAPMINSLIST','PLANT','DREAM','3.00','LABEL','plant',to_char(sysdate,'yyyymmddhh24miss'),to_char(sysdate,'yyyymmddhh24miss') ,'Y'  ); </v>
      </c>
      <c r="AW11" s="11" t="str">
        <f t="shared" ref="AW11" si="37">" insert into tapggrid(pggrid_id,page_id,grid_obj_id,description,height,file_name,site_type,version_info,cre_date,upd_date) values( next value for sqapggrid_id,"&amp;X11&amp;",'"&amp;D11&amp;"', (select description from tapage where file_name = '"&amp;C11&amp;"') ,'"&amp;E11&amp;"','"&amp;C11&amp;"','"&amp;S11&amp;"','"&amp;T11&amp;"',CONVERT(CHAR(8),GETDATE(),112)+REPLACE(CONVERT(CHAR(8),GETDATE(),108),':',''),CONVERT(CHAR(8),GETDATE(),112)+REPLACE(CONVERT(CHAR(8),GETDATE(),108),':',''));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1" s="11" t="str">
        <f t="shared" ref="AX11" si="38">AH11&amp;" values( next value for sqapggridcol_id ,"&amp;AF11&amp;",'"&amp;F11&amp;"','"&amp;I11&amp;"','"&amp;R11&amp;"','"&amp;J11&amp;"','"&amp;K11&amp;"','"&amp;L11&amp;"','"&amp;M11&amp;"','false','"&amp;Q11&amp;"','"&amp;O11&amp;"','"&amp;G11&amp;"','"&amp;C11&amp;"','"&amp;D11&amp;"','"&amp;U11&amp;"','"&amp;V11&amp;"','"&amp;S11&amp;"','"&amp;T11&amp;"','"&amp;Q11&amp;"','"&amp;R11&amp;"',CONVERT(CHAR(8),GETDATE(),112)+REPLACE(CONVERT(CHAR(8),GETDATE(),108),':',''),CONVERT(CHAR(8),GETDATE(),112)+REPLACE(CONVERT(CHAR(8),GETDATE(),108),':','')  ,'"&amp;P11&amp;"'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LANTDESC','200','plant','120','ro','left','str','false','LABEL','N','공장','workPmiList','gridbox','TAPMINSLIST','PLANT','DREAM','3.00','LABEL','plant',CONVERT(CHAR(8),GETDATE(),112)+REPLACE(CONVERT(CHAR(8),GETDATE(),108),':',''),CONVERT(CHAR(8),GETDATE(),112)+REPLACE(CONVERT(CHAR(8),GETDATE(),108),':','')  ,'Y' ); </v>
      </c>
    </row>
    <row r="12" spans="1:51" x14ac:dyDescent="0.3">
      <c r="A12" s="64">
        <v>11</v>
      </c>
      <c r="B12" s="66" t="s">
        <v>36</v>
      </c>
      <c r="C12" s="67" t="s">
        <v>344</v>
      </c>
      <c r="D12" s="67" t="s">
        <v>130</v>
      </c>
      <c r="E12" s="67" t="s">
        <v>131</v>
      </c>
      <c r="F12" s="64" t="s">
        <v>160</v>
      </c>
      <c r="G12" s="64" t="s">
        <v>98</v>
      </c>
      <c r="H12" s="64"/>
      <c r="I12" s="67" t="s">
        <v>76</v>
      </c>
      <c r="J12" s="72" t="s">
        <v>451</v>
      </c>
      <c r="K12" s="64" t="s">
        <v>144</v>
      </c>
      <c r="L12" s="64" t="s">
        <v>145</v>
      </c>
      <c r="M12" s="64" t="s">
        <v>146</v>
      </c>
      <c r="N12" s="64" t="s">
        <v>138</v>
      </c>
      <c r="O12" s="64" t="s">
        <v>44</v>
      </c>
      <c r="P12" s="64" t="s">
        <v>38</v>
      </c>
      <c r="Q12" s="64" t="s">
        <v>55</v>
      </c>
      <c r="R12" s="64" t="s">
        <v>100</v>
      </c>
      <c r="S12" s="67" t="s">
        <v>39</v>
      </c>
      <c r="T12" s="68" t="s">
        <v>405</v>
      </c>
      <c r="U12" s="65" t="s">
        <v>436</v>
      </c>
      <c r="V12" s="65" t="s">
        <v>423</v>
      </c>
      <c r="X12" s="11" t="str">
        <f t="shared" si="0"/>
        <v xml:space="preserve"> (select page_id from tapage where file_name='workPmiList') </v>
      </c>
      <c r="Y12" s="1" t="s">
        <v>33</v>
      </c>
      <c r="Z12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2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2" s="1" t="s">
        <v>33</v>
      </c>
      <c r="AC12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2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2" s="1" t="s">
        <v>33</v>
      </c>
      <c r="AF12" s="11" t="str">
        <f t="shared" si="5"/>
        <v xml:space="preserve"> (select pggrid_id from tapggrid where page_id =  (select page_id from tapage where file_name='workPmiList')   and grid_obj_id = 'gridbox' )</v>
      </c>
      <c r="AG12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2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2" s="1" t="s">
        <v>33</v>
      </c>
      <c r="AJ12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),'DEPTDESC','210','dept','120','ro','left','str','false','LABEL','N','부서','workPmiList','gridbox','TADEPT','DESCRIPTION','DREAM','3.00','LABEL','dept',to_char(sysdate,'yyyymmddhh24miss'),to_char(sysdate,'yyyymmddhh24miss'),'Y' ); </v>
      </c>
      <c r="AK12" s="11" t="str">
        <f t="shared" si="9"/>
        <v xml:space="preserve"> update tapggridcol set ord_no ='210' , key_type = 'LABEL', key_no ='dept' , site_type ='DREAM', version_info ='3.00' , basic_key_type ='LABEL' , basic_key_no ='dept', width='120' ,type='ro' ,align='left' ,sort='str' ,hidden='false' ,system_col='N' ,display_yn='Y' ,description='부서' ,file_name='workPmiList' ,grid_obj_id='gridbox' ,table_name='TADEPT' ,column_name='DESCRIPTION' , upd_date =to_char(sysdate,'yyyymmddhh24miss')  where pggrid_id = (select pggrid_id from tapggrid where page_id =  (select page_id from tapage where file_name='workPmiList')   and grid_obj_id = 'gridbox' ) and column_id = 'DEPTDESC' ; </v>
      </c>
      <c r="AL12" s="1" t="s">
        <v>33</v>
      </c>
      <c r="AM12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DEPTDESC','210','dept','120','ro','left','str','false','LABEL','N','부서','workPmiList','gridbox','TADEPT','DESCRIPTION','DREAM','3.00','LABEL','dept',CONVERT(CHAR(8),GETDATE(),112)+REPLACE(CONVERT(CHAR(8),GETDATE(),108),':',''),CONVERT(CHAR(8),GETDATE(),112)+REPLACE(CONVERT(CHAR(8),GETDATE(),108),':','') ,'Y' ); </v>
      </c>
      <c r="AN12" s="11" t="str">
        <f t="shared" si="11"/>
        <v xml:space="preserve"> update tapggridcol set ord_no ='210' , key_type = 'LABEL', key_no ='dept' , site_type ='DREAM', version_info ='3.00' , basic_key_type ='LABEL' , basic_key_no ='dept', width='120' ,type='ro' ,align='left' ,sort='str' ,hidden='false' ,system_col='N',display_yn='Y'  ,description='부서' ,file_name='workPmiList' ,grid_obj_id='gridbox' ,table_name='TADEPT' ,column_name='DESCRIPTION' , upd_date =CONVERT(CHAR(8),GETDATE(),112)+REPLACE(CONVERT(CHAR(8),GETDATE(),108),':','')  where pggrid_id = (select pggrid_id from tapggrid where page_id =  (select page_id from tapage where file_name='workPmiList')   and grid_obj_id = 'gridbox' ) and column_id = 'DEPTDESC' ; </v>
      </c>
      <c r="AO12" s="1" t="s">
        <v>33</v>
      </c>
      <c r="AP12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2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),'DEPTDESC','210','dept','120','ro','left','str','true','LABEL','N','부서','workPmiList','gridbox','TADEPT','DESCRIPTION','DREAM','3.00','LABEL','dept',to_char(sysdate,'yyyymmddhh24miss'),to_char(sysdate,'yyyymmddhh24miss')  ,'Y' ); </v>
      </c>
      <c r="AR12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2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DEPTDESC','210','dept','120','ro','left','str','true','LABEL','N','부서','workPmiList','gridbox','TADEPT','DESCRIPTION','DREAM','3.00','LABEL','dept',CONVERT(CHAR(8),GETDATE(),112)+REPLACE(CONVERT(CHAR(8),GETDATE(),108),':',''),CONVERT(CHAR(8),GETDATE(),112)+REPLACE(CONVERT(CHAR(8),GETDATE(),108),':','')  ,'Y' ); </v>
      </c>
      <c r="AT12" s="1" t="s">
        <v>33</v>
      </c>
      <c r="AU12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2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),'DEPTDESC','210','dept','120','ro','left','str','false','LABEL','N','부서','workPmiList','gridbox','TADEPT','DESCRIPTION','DREAM','3.00','LABEL','dept',to_char(sysdate,'yyyymmddhh24miss'),to_char(sysdate,'yyyymmddhh24miss') ,'Y'  ); </v>
      </c>
      <c r="AW12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2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DEPTDESC','210','dept','120','ro','left','str','false','LABEL','N','부서','workPmiList','gridbox','TADEPT','DESCRIPTION','DREAM','3.00','LABEL','dept',CONVERT(CHAR(8),GETDATE(),112)+REPLACE(CONVERT(CHAR(8),GETDATE(),108),':',''),CONVERT(CHAR(8),GETDATE(),112)+REPLACE(CONVERT(CHAR(8),GETDATE(),108),':','')  ,'Y' ); </v>
      </c>
    </row>
    <row r="13" spans="1:51" x14ac:dyDescent="0.3">
      <c r="A13" s="64">
        <v>12</v>
      </c>
      <c r="B13" s="66" t="s">
        <v>36</v>
      </c>
      <c r="C13" s="67" t="s">
        <v>344</v>
      </c>
      <c r="D13" s="67" t="s">
        <v>130</v>
      </c>
      <c r="E13" s="67" t="s">
        <v>131</v>
      </c>
      <c r="F13" s="64" t="s">
        <v>149</v>
      </c>
      <c r="G13" s="64" t="s">
        <v>79</v>
      </c>
      <c r="H13" s="64"/>
      <c r="I13" s="67" t="s">
        <v>82</v>
      </c>
      <c r="J13" s="64" t="s">
        <v>140</v>
      </c>
      <c r="K13" s="64" t="s">
        <v>144</v>
      </c>
      <c r="L13" s="64" t="s">
        <v>145</v>
      </c>
      <c r="M13" s="64" t="s">
        <v>146</v>
      </c>
      <c r="N13" s="64" t="s">
        <v>138</v>
      </c>
      <c r="O13" s="64" t="s">
        <v>44</v>
      </c>
      <c r="P13" s="64" t="s">
        <v>38</v>
      </c>
      <c r="Q13" s="64" t="s">
        <v>55</v>
      </c>
      <c r="R13" s="64" t="s">
        <v>81</v>
      </c>
      <c r="S13" s="67" t="s">
        <v>39</v>
      </c>
      <c r="T13" s="68" t="s">
        <v>405</v>
      </c>
      <c r="U13" s="65" t="s">
        <v>437</v>
      </c>
      <c r="V13" s="65" t="s">
        <v>438</v>
      </c>
      <c r="X13" s="11" t="str">
        <f t="shared" si="0"/>
        <v xml:space="preserve"> (select page_id from tapage where file_name='workPmiList') </v>
      </c>
      <c r="Y13" s="1" t="s">
        <v>33</v>
      </c>
      <c r="Z13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3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3" s="1" t="s">
        <v>33</v>
      </c>
      <c r="AC13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3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3" s="1" t="s">
        <v>33</v>
      </c>
      <c r="AF13" s="11" t="str">
        <f t="shared" si="5"/>
        <v xml:space="preserve"> (select pggrid_id from tapggrid where page_id =  (select page_id from tapage where file_name='workPmiList')   and grid_obj_id = 'gridbox' )</v>
      </c>
      <c r="AG13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3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3" s="1" t="s">
        <v>33</v>
      </c>
      <c r="AJ13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),'EMPDESC','220','manager','80','ro','left','str','false','LABEL','N','담당자','workPmiList','gridbox','TAEMP','EMP_NAME','DREAM','3.00','LABEL','manager',to_char(sysdate,'yyyymmddhh24miss'),to_char(sysdate,'yyyymmddhh24miss'),'Y' ); </v>
      </c>
      <c r="AK13" s="11" t="str">
        <f t="shared" si="9"/>
        <v xml:space="preserve"> update tapggridcol set ord_no ='220' , key_type = 'LABEL', key_no ='manager' , site_type ='DREAM', version_info ='3.00' , basic_key_type ='LABEL' , basic_key_no ='manager', width='80' ,type='ro' ,align='left' ,sort='str' ,hidden='false' ,system_col='N' ,display_yn='Y' ,description='담당자' ,file_name='workPmiList' ,grid_obj_id='gridbox' ,table_name='TAEMP' ,column_name='EMP_NAME' , upd_date =to_char(sysdate,'yyyymmddhh24miss')  where pggrid_id = (select pggrid_id from tapggrid where page_id =  (select page_id from tapage where file_name='workPmiList')   and grid_obj_id = 'gridbox' ) and column_id = 'EMPDESC' ; </v>
      </c>
      <c r="AL13" s="1" t="s">
        <v>33</v>
      </c>
      <c r="AM13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MPDESC','220','manager','80','ro','left','str','false','LABEL','N','담당자','workPmiList','gridbox','TAEMP','EMP_NAME','DREAM','3.00','LABEL','manager',CONVERT(CHAR(8),GETDATE(),112)+REPLACE(CONVERT(CHAR(8),GETDATE(),108),':',''),CONVERT(CHAR(8),GETDATE(),112)+REPLACE(CONVERT(CHAR(8),GETDATE(),108),':','') ,'Y' ); </v>
      </c>
      <c r="AN13" s="11" t="str">
        <f t="shared" si="11"/>
        <v xml:space="preserve"> update tapggridcol set ord_no ='220' , key_type = 'LABEL', key_no ='manager' , site_type ='DREAM', version_info ='3.00' , basic_key_type ='LABEL' , basic_key_no ='manager', width='80' ,type='ro' ,align='left' ,sort='str' ,hidden='false' ,system_col='N',display_yn='Y'  ,description='담당자' ,file_name='workPmiList' ,grid_obj_id='gridbox' ,table_name='TAEMP' ,column_name='EMP_NAME' , upd_date =CONVERT(CHAR(8),GETDATE(),112)+REPLACE(CONVERT(CHAR(8),GETDATE(),108),':','')  where pggrid_id = (select pggrid_id from tapggrid where page_id =  (select page_id from tapage where file_name='workPmiList')   and grid_obj_id = 'gridbox' ) and column_id = 'EMPDESC' ; </v>
      </c>
      <c r="AO13" s="1" t="s">
        <v>33</v>
      </c>
      <c r="AP13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3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),'EMPDESC','220','manager','80','ro','left','str','true','LABEL','N','담당자','workPmiList','gridbox','TAEMP','EMP_NAME','DREAM','3.00','LABEL','manager',to_char(sysdate,'yyyymmddhh24miss'),to_char(sysdate,'yyyymmddhh24miss')  ,'Y' ); </v>
      </c>
      <c r="AR13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3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MPDESC','220','manager','80','ro','left','str','true','LABEL','N','담당자','workPmiList','gridbox','TAEMP','EMP_NAME','DREAM','3.00','LABEL','manager',CONVERT(CHAR(8),GETDATE(),112)+REPLACE(CONVERT(CHAR(8),GETDATE(),108),':',''),CONVERT(CHAR(8),GETDATE(),112)+REPLACE(CONVERT(CHAR(8),GETDATE(),108),':','')  ,'Y' ); </v>
      </c>
      <c r="AT13" s="1" t="s">
        <v>33</v>
      </c>
      <c r="AU13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3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),'EMPDESC','220','manager','80','ro','left','str','false','LABEL','N','담당자','workPmiList','gridbox','TAEMP','EMP_NAME','DREAM','3.00','LABEL','manager',to_char(sysdate,'yyyymmddhh24miss'),to_char(sysdate,'yyyymmddhh24miss') ,'Y'  ); </v>
      </c>
      <c r="AW13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3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MPDESC','220','manager','80','ro','left','str','false','LABEL','N','담당자','workPmiList','gridbox','TAEMP','EMP_NAME','DREAM','3.00','LABEL','manager',CONVERT(CHAR(8),GETDATE(),112)+REPLACE(CONVERT(CHAR(8),GETDATE(),108),':',''),CONVERT(CHAR(8),GETDATE(),112)+REPLACE(CONVERT(CHAR(8),GETDATE(),108),':','')  ,'Y' ); </v>
      </c>
    </row>
    <row r="14" spans="1:51" x14ac:dyDescent="0.3">
      <c r="A14" s="64">
        <v>13</v>
      </c>
      <c r="B14" s="66" t="s">
        <v>36</v>
      </c>
      <c r="C14" s="67" t="s">
        <v>42</v>
      </c>
      <c r="D14" s="67" t="s">
        <v>130</v>
      </c>
      <c r="E14" s="67" t="s">
        <v>131</v>
      </c>
      <c r="F14" s="64" t="s">
        <v>385</v>
      </c>
      <c r="G14" s="64" t="s">
        <v>394</v>
      </c>
      <c r="H14" s="64"/>
      <c r="I14" s="67" t="s">
        <v>80</v>
      </c>
      <c r="J14" s="72" t="s">
        <v>451</v>
      </c>
      <c r="K14" s="64" t="s">
        <v>144</v>
      </c>
      <c r="L14" s="64" t="s">
        <v>145</v>
      </c>
      <c r="M14" s="64" t="s">
        <v>146</v>
      </c>
      <c r="N14" s="64" t="s">
        <v>138</v>
      </c>
      <c r="O14" s="64" t="s">
        <v>44</v>
      </c>
      <c r="P14" s="64" t="s">
        <v>38</v>
      </c>
      <c r="Q14" s="64" t="s">
        <v>55</v>
      </c>
      <c r="R14" s="64" t="s">
        <v>404</v>
      </c>
      <c r="S14" s="67" t="s">
        <v>39</v>
      </c>
      <c r="T14" s="68" t="s">
        <v>405</v>
      </c>
      <c r="U14" s="65" t="s">
        <v>439</v>
      </c>
      <c r="V14" s="65" t="s">
        <v>423</v>
      </c>
      <c r="X14" s="11" t="str">
        <f t="shared" si="0"/>
        <v xml:space="preserve"> (select page_id from tapage where file_name='workPmiList') </v>
      </c>
      <c r="Y14" s="1" t="s">
        <v>33</v>
      </c>
      <c r="Z14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4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4" s="1" t="s">
        <v>33</v>
      </c>
      <c r="AC14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4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4" s="1" t="s">
        <v>33</v>
      </c>
      <c r="AF14" s="11" t="str">
        <f t="shared" si="5"/>
        <v xml:space="preserve"> (select pggrid_id from tapggrid where page_id =  (select page_id from tapage where file_name='workPmiList')   and grid_obj_id = 'gridbox' )</v>
      </c>
      <c r="AG14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4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4" s="1" t="s">
        <v>33</v>
      </c>
      <c r="AJ14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),'VENDORDESC','230','vendor','120','ro','left','str','false','LABEL','N','거래처','workPmiList','gridbox','TAVENDOR','DESCRIPTION','DREAM','3.00','LABEL','vendor',to_char(sysdate,'yyyymmddhh24miss'),to_char(sysdate,'yyyymmddhh24miss'),'Y' ); </v>
      </c>
      <c r="AK14" s="11" t="str">
        <f t="shared" si="9"/>
        <v xml:space="preserve"> update tapggridcol set ord_no ='230' , key_type = 'LABEL', key_no ='vendor' , site_type ='DREAM', version_info ='3.00' , basic_key_type ='LABEL' , basic_key_no ='vendor', width='120' ,type='ro' ,align='left' ,sort='str' ,hidden='false' ,system_col='N' ,display_yn='Y' ,description='거래처' ,file_name='workPmiList' ,grid_obj_id='gridbox' ,table_name='TAVENDOR' ,column_name='DESCRIPTION' , upd_date =to_char(sysdate,'yyyymmddhh24miss')  where pggrid_id = (select pggrid_id from tapggrid where page_id =  (select page_id from tapage where file_name='workPmiList')   and grid_obj_id = 'gridbox' ) and column_id = 'VENDORDESC' ; </v>
      </c>
      <c r="AL14" s="1" t="s">
        <v>33</v>
      </c>
      <c r="AM14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VENDORDESC','230','vendor','120','ro','left','str','false','LABEL','N','거래처','workPmiList','gridbox','TAVENDOR','DESCRIPTION','DREAM','3.00','LABEL','vendor',CONVERT(CHAR(8),GETDATE(),112)+REPLACE(CONVERT(CHAR(8),GETDATE(),108),':',''),CONVERT(CHAR(8),GETDATE(),112)+REPLACE(CONVERT(CHAR(8),GETDATE(),108),':','') ,'Y' ); </v>
      </c>
      <c r="AN14" s="11" t="str">
        <f t="shared" si="11"/>
        <v xml:space="preserve"> update tapggridcol set ord_no ='230' , key_type = 'LABEL', key_no ='vendor' , site_type ='DREAM', version_info ='3.00' , basic_key_type ='LABEL' , basic_key_no ='vendor', width='120' ,type='ro' ,align='left' ,sort='str' ,hidden='false' ,system_col='N',display_yn='Y'  ,description='거래처' ,file_name='workPmiList' ,grid_obj_id='gridbox' ,table_name='TAVENDOR' ,column_name='DESCRIPTION' , upd_date =CONVERT(CHAR(8),GETDATE(),112)+REPLACE(CONVERT(CHAR(8),GETDATE(),108),':','')  where pggrid_id = (select pggrid_id from tapggrid where page_id =  (select page_id from tapage where file_name='workPmiList')   and grid_obj_id = 'gridbox' ) and column_id = 'VENDORDESC' ; </v>
      </c>
      <c r="AO14" s="1" t="s">
        <v>33</v>
      </c>
      <c r="AP14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4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),'VENDORDESC','230','vendor','120','ro','left','str','true','LABEL','N','거래처','workPmiList','gridbox','TAVENDOR','DESCRIPTION','DREAM','3.00','LABEL','vendor',to_char(sysdate,'yyyymmddhh24miss'),to_char(sysdate,'yyyymmddhh24miss')  ,'Y' ); </v>
      </c>
      <c r="AR14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4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VENDORDESC','230','vendor','120','ro','left','str','true','LABEL','N','거래처','workPmiList','gridbox','TAVENDOR','DESCRIPTION','DREAM','3.00','LABEL','vendor',CONVERT(CHAR(8),GETDATE(),112)+REPLACE(CONVERT(CHAR(8),GETDATE(),108),':',''),CONVERT(CHAR(8),GETDATE(),112)+REPLACE(CONVERT(CHAR(8),GETDATE(),108),':','')  ,'Y' ); </v>
      </c>
      <c r="AT14" s="1" t="s">
        <v>33</v>
      </c>
      <c r="AU14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4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),'VENDORDESC','230','vendor','120','ro','left','str','false','LABEL','N','거래처','workPmiList','gridbox','TAVENDOR','DESCRIPTION','DREAM','3.00','LABEL','vendor',to_char(sysdate,'yyyymmddhh24miss'),to_char(sysdate,'yyyymmddhh24miss') ,'Y'  ); </v>
      </c>
      <c r="AW14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4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VENDORDESC','230','vendor','120','ro','left','str','false','LABEL','N','거래처','workPmiList','gridbox','TAVENDOR','DESCRIPTION','DREAM','3.00','LABEL','vendor',CONVERT(CHAR(8),GETDATE(),112)+REPLACE(CONVERT(CHAR(8),GETDATE(),108),':',''),CONVERT(CHAR(8),GETDATE(),112)+REPLACE(CONVERT(CHAR(8),GETDATE(),108),':','')  ,'Y' ); </v>
      </c>
    </row>
    <row r="15" spans="1:51" x14ac:dyDescent="0.3">
      <c r="A15" s="64">
        <v>14</v>
      </c>
      <c r="B15" s="66" t="s">
        <v>36</v>
      </c>
      <c r="C15" s="67" t="s">
        <v>42</v>
      </c>
      <c r="D15" s="67" t="s">
        <v>130</v>
      </c>
      <c r="E15" s="67" t="s">
        <v>131</v>
      </c>
      <c r="F15" s="64" t="s">
        <v>310</v>
      </c>
      <c r="G15" s="64" t="s">
        <v>90</v>
      </c>
      <c r="H15" s="64"/>
      <c r="I15" s="67" t="s">
        <v>84</v>
      </c>
      <c r="J15" s="64" t="s">
        <v>63</v>
      </c>
      <c r="K15" s="64" t="s">
        <v>144</v>
      </c>
      <c r="L15" s="64" t="s">
        <v>145</v>
      </c>
      <c r="M15" s="64" t="s">
        <v>146</v>
      </c>
      <c r="N15" s="64" t="s">
        <v>138</v>
      </c>
      <c r="O15" s="64" t="s">
        <v>44</v>
      </c>
      <c r="P15" s="64" t="s">
        <v>38</v>
      </c>
      <c r="Q15" s="64" t="s">
        <v>55</v>
      </c>
      <c r="R15" s="64" t="s">
        <v>92</v>
      </c>
      <c r="S15" s="67" t="s">
        <v>39</v>
      </c>
      <c r="T15" s="68" t="s">
        <v>405</v>
      </c>
      <c r="U15" s="65" t="s">
        <v>349</v>
      </c>
      <c r="V15" s="65" t="s">
        <v>440</v>
      </c>
      <c r="X15" s="11" t="str">
        <f t="shared" si="0"/>
        <v xml:space="preserve"> (select page_id from tapage where file_name='workPmiList') </v>
      </c>
      <c r="Y15" s="1" t="s">
        <v>33</v>
      </c>
      <c r="Z15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5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5" s="1" t="s">
        <v>33</v>
      </c>
      <c r="AC15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5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5" s="1" t="s">
        <v>33</v>
      </c>
      <c r="AF15" s="11" t="str">
        <f t="shared" si="5"/>
        <v xml:space="preserve"> (select pggrid_id from tapggrid where page_id =  (select page_id from tapage where file_name='workPmiList')   and grid_obj_id = 'gridbox' )</v>
      </c>
      <c r="AG15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5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5" s="1" t="s">
        <v>33</v>
      </c>
      <c r="AJ15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),'SHIFTTYPEDESC','240','shiftType','150','ro','left','str','false','LABEL','N','교대조','workPmiList','gridbox','TAPMINSLIST','SHIFT_TYPE','DREAM','3.00','LABEL','shiftType',to_char(sysdate,'yyyymmddhh24miss'),to_char(sysdate,'yyyymmddhh24miss'),'Y' ); </v>
      </c>
      <c r="AK15" s="11" t="str">
        <f t="shared" si="9"/>
        <v xml:space="preserve"> update tapggridcol set ord_no ='240' , key_type = 'LABEL', key_no ='shiftType' , site_type ='DREAM', version_info ='3.00' , basic_key_type ='LABEL' , basic_key_no ='shiftType', width='150' ,type='ro' ,align='left' ,sort='str' ,hidden='false' ,system_col='N' ,display_yn='Y' ,description='교대조' ,file_name='workPmiList' ,grid_obj_id='gridbox' ,table_name='TAPMINSLIST' ,column_name='SHIFT_TYPE' , upd_date =to_char(sysdate,'yyyymmddhh24miss')  where pggrid_id = (select pggrid_id from tapggrid where page_id =  (select page_id from tapage where file_name='workPmiList')   and grid_obj_id = 'gridbox' ) and column_id = 'SHIFTTYPEDESC' ; </v>
      </c>
      <c r="AL15" s="1" t="s">
        <v>33</v>
      </c>
      <c r="AM15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HIFTTYPEDESC','240','shiftType','150','ro','left','str','false','LABEL','N','교대조','workPmiList','gridbox','TAPMINSLIST','SHIFT_TYPE','DREAM','3.00','LABEL','shiftType',CONVERT(CHAR(8),GETDATE(),112)+REPLACE(CONVERT(CHAR(8),GETDATE(),108),':',''),CONVERT(CHAR(8),GETDATE(),112)+REPLACE(CONVERT(CHAR(8),GETDATE(),108),':','') ,'Y' ); </v>
      </c>
      <c r="AN15" s="11" t="str">
        <f t="shared" si="11"/>
        <v xml:space="preserve"> update tapggridcol set ord_no ='240' , key_type = 'LABEL', key_no ='shiftType' , site_type ='DREAM', version_info ='3.00' , basic_key_type ='LABEL' , basic_key_no ='shiftType', width='150' ,type='ro' ,align='left' ,sort='str' ,hidden='false' ,system_col='N',display_yn='Y'  ,description='교대조' ,file_name='workPmiList' ,grid_obj_id='gridbox' ,table_name='TAPMINSLIST' ,column_name='SHIFT_TYPE' , upd_date =CONVERT(CHAR(8),GETDATE(),112)+REPLACE(CONVERT(CHAR(8),GETDATE(),108),':','')  where pggrid_id = (select pggrid_id from tapggrid where page_id =  (select page_id from tapage where file_name='workPmiList')   and grid_obj_id = 'gridbox' ) and column_id = 'SHIFTTYPEDESC' ; </v>
      </c>
      <c r="AO15" s="1" t="s">
        <v>33</v>
      </c>
      <c r="AP15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5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),'SHIFTTYPEDESC','240','shiftType','150','ro','left','str','true','LABEL','N','교대조','workPmiList','gridbox','TAPMINSLIST','SHIFT_TYPE','DREAM','3.00','LABEL','shiftType',to_char(sysdate,'yyyymmddhh24miss'),to_char(sysdate,'yyyymmddhh24miss')  ,'Y' ); </v>
      </c>
      <c r="AR15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5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HIFTTYPEDESC','240','shiftType','150','ro','left','str','true','LABEL','N','교대조','workPmiList','gridbox','TAPMINSLIST','SHIFT_TYPE','DREAM','3.00','LABEL','shiftType',CONVERT(CHAR(8),GETDATE(),112)+REPLACE(CONVERT(CHAR(8),GETDATE(),108),':',''),CONVERT(CHAR(8),GETDATE(),112)+REPLACE(CONVERT(CHAR(8),GETDATE(),108),':','')  ,'Y' ); </v>
      </c>
      <c r="AT15" s="1" t="s">
        <v>33</v>
      </c>
      <c r="AU15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5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),'SHIFTTYPEDESC','240','shiftType','150','ro','left','str','false','LABEL','N','교대조','workPmiList','gridbox','TAPMINSLIST','SHIFT_TYPE','DREAM','3.00','LABEL','shiftType',to_char(sysdate,'yyyymmddhh24miss'),to_char(sysdate,'yyyymmddhh24miss') ,'Y'  ); </v>
      </c>
      <c r="AW15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5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HIFTTYPEDESC','240','shiftType','150','ro','left','str','false','LABEL','N','교대조','workPmiList','gridbox','TAPMINSLIST','SHIFT_TYPE','DREAM','3.00','LABEL','shiftType',CONVERT(CHAR(8),GETDATE(),112)+REPLACE(CONVERT(CHAR(8),GETDATE(),108),':',''),CONVERT(CHAR(8),GETDATE(),112)+REPLACE(CONVERT(CHAR(8),GETDATE(),108),':','')  ,'Y' ); </v>
      </c>
    </row>
    <row r="16" spans="1:51" x14ac:dyDescent="0.3">
      <c r="A16" s="64">
        <v>15</v>
      </c>
      <c r="B16" s="66" t="s">
        <v>36</v>
      </c>
      <c r="C16" s="67" t="s">
        <v>42</v>
      </c>
      <c r="D16" s="67" t="s">
        <v>130</v>
      </c>
      <c r="E16" s="67" t="s">
        <v>131</v>
      </c>
      <c r="F16" s="64" t="s">
        <v>307</v>
      </c>
      <c r="G16" s="64" t="s">
        <v>124</v>
      </c>
      <c r="H16" s="64"/>
      <c r="I16" s="67" t="s">
        <v>87</v>
      </c>
      <c r="J16" s="64" t="s">
        <v>50</v>
      </c>
      <c r="K16" s="64" t="s">
        <v>144</v>
      </c>
      <c r="L16" s="64" t="s">
        <v>145</v>
      </c>
      <c r="M16" s="64" t="s">
        <v>146</v>
      </c>
      <c r="N16" s="64" t="s">
        <v>138</v>
      </c>
      <c r="O16" s="64" t="s">
        <v>44</v>
      </c>
      <c r="P16" s="64" t="s">
        <v>38</v>
      </c>
      <c r="Q16" s="64" t="s">
        <v>55</v>
      </c>
      <c r="R16" s="64" t="s">
        <v>126</v>
      </c>
      <c r="S16" s="67" t="s">
        <v>39</v>
      </c>
      <c r="T16" s="68" t="s">
        <v>405</v>
      </c>
      <c r="U16" s="65" t="s">
        <v>349</v>
      </c>
      <c r="V16" s="65" t="s">
        <v>441</v>
      </c>
      <c r="X16" s="11" t="str">
        <f t="shared" si="0"/>
        <v xml:space="preserve"> (select page_id from tapage where file_name='workPmiList') </v>
      </c>
      <c r="Y16" s="1" t="s">
        <v>33</v>
      </c>
      <c r="Z16" s="11" t="str">
        <f t="shared" si="1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6" s="11" t="str">
        <f t="shared" si="2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6" s="1" t="s">
        <v>33</v>
      </c>
      <c r="AC16" s="11" t="str">
        <f t="shared" si="3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6" s="11" t="str">
        <f t="shared" si="4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6" s="1" t="s">
        <v>33</v>
      </c>
      <c r="AF16" s="11" t="str">
        <f t="shared" si="5"/>
        <v xml:space="preserve"> (select pggrid_id from tapggrid where page_id =  (select page_id from tapage where file_name='workPmiList')   and grid_obj_id = 'gridbox' )</v>
      </c>
      <c r="AG16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6" s="11" t="str">
        <f t="shared" si="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6" s="1" t="s">
        <v>33</v>
      </c>
      <c r="AJ16" s="11" t="str">
        <f t="shared" si="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SCHEDSTATUSDESC','250','pmiSchedStatus','100','ro','left','str','false','LABEL','N','점검작업상태','workPmiList','gridbox','TAPMINSLIST','PMSCHED_STATUS','DREAM','3.00','LABEL','pmiSchedStatus',to_char(sysdate,'yyyymmddhh24miss'),to_char(sysdate,'yyyymmddhh24miss'),'Y' ); </v>
      </c>
      <c r="AK16" s="11" t="str">
        <f t="shared" si="9"/>
        <v xml:space="preserve"> update tapggridcol set ord_no ='250' , key_type = 'LABEL', key_no ='pmiSchedStatus' , site_type ='DREAM', version_info ='3.00' , basic_key_type ='LABEL' , basic_key_no ='pmiSchedStatus', width='100' ,type='ro' ,align='left' ,sort='str' ,hidden='false' ,system_col='N' ,display_yn='Y' ,description='점검작업상태' ,file_name='workPmiList' ,grid_obj_id='gridbox' ,table_name='TAPMINSLIST' ,column_name='PMSCHED_STATUS' , upd_date =to_char(sysdate,'yyyymmddhh24miss')  where pggrid_id = (select pggrid_id from tapggrid where page_id =  (select page_id from tapage where file_name='workPmiList')   and grid_obj_id = 'gridbox' ) and column_id = 'PMSCHEDSTATUSDESC' ; </v>
      </c>
      <c r="AL16" s="1" t="s">
        <v>33</v>
      </c>
      <c r="AM16" s="11" t="str">
        <f t="shared" si="10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SCHEDSTATUSDESC','250','pmiSchedStatus','100','ro','left','str','false','LABEL','N','점검작업상태','workPmiList','gridbox','TAPMINSLIST','PMSCHED_STATUS','DREAM','3.00','LABEL','pmiSchedStatus',CONVERT(CHAR(8),GETDATE(),112)+REPLACE(CONVERT(CHAR(8),GETDATE(),108),':',''),CONVERT(CHAR(8),GETDATE(),112)+REPLACE(CONVERT(CHAR(8),GETDATE(),108),':','') ,'Y' ); </v>
      </c>
      <c r="AN16" s="11" t="str">
        <f t="shared" si="11"/>
        <v xml:space="preserve"> update tapggridcol set ord_no ='250' , key_type = 'LABEL', key_no ='pmiSchedStatus' , site_type ='DREAM', version_info ='3.00' , basic_key_type ='LABEL' , basic_key_no ='pmiSchedStatus', width='100' ,type='ro' ,align='left' ,sort='str' ,hidden='false' ,system_col='N',display_yn='Y'  ,description='점검작업상태' ,file_name='workPmiList' ,grid_obj_id='gridbox' ,table_name='TAPMINSLIST' ,column_name='PMSCHED_STATUS' , upd_date =CONVERT(CHAR(8),GETDATE(),112)+REPLACE(CONVERT(CHAR(8),GETDATE(),108),':','')  where pggrid_id = (select pggrid_id from tapggrid where page_id =  (select page_id from tapage where file_name='workPmiList')   and grid_obj_id = 'gridbox' ) and column_id = 'PMSCHEDSTATUSDESC' ; </v>
      </c>
      <c r="AO16" s="1" t="s">
        <v>33</v>
      </c>
      <c r="AP16" s="11" t="str">
        <f t="shared" si="12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6" s="11" t="str">
        <f t="shared" si="1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),'PMSCHEDSTATUSDESC','250','pmiSchedStatus','100','ro','left','str','true','LABEL','N','점검작업상태','workPmiList','gridbox','TAPMINSLIST','PMSCHED_STATUS','DREAM','3.00','LABEL','pmiSchedStatus',to_char(sysdate,'yyyymmddhh24miss'),to_char(sysdate,'yyyymmddhh24miss')  ,'Y' ); </v>
      </c>
      <c r="AR16" s="11" t="str">
        <f t="shared" si="14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6" s="11" t="str">
        <f t="shared" si="1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SCHEDSTATUSDESC','250','pmiSchedStatus','100','ro','left','str','true','LABEL','N','점검작업상태','workPmiList','gridbox','TAPMINSLIST','PMSCHED_STATUS','DREAM','3.00','LABEL','pmiSchedStatus',CONVERT(CHAR(8),GETDATE(),112)+REPLACE(CONVERT(CHAR(8),GETDATE(),108),':',''),CONVERT(CHAR(8),GETDATE(),112)+REPLACE(CONVERT(CHAR(8),GETDATE(),108),':','')  ,'Y' ); </v>
      </c>
      <c r="AT16" s="1" t="s">
        <v>33</v>
      </c>
      <c r="AU16" s="11" t="str">
        <f t="shared" si="16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6" s="11" t="str">
        <f t="shared" si="1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),'PMSCHEDSTATUSDESC','250','pmiSchedStatus','100','ro','left','str','false','LABEL','N','점검작업상태','workPmiList','gridbox','TAPMINSLIST','PMSCHED_STATUS','DREAM','3.00','LABEL','pmiSchedStatus',to_char(sysdate,'yyyymmddhh24miss'),to_char(sysdate,'yyyymmddhh24miss') ,'Y'  ); </v>
      </c>
      <c r="AW16" s="11" t="str">
        <f t="shared" si="18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6" s="11" t="str">
        <f t="shared" si="19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SCHEDSTATUSDESC','250','pmiSchedStatus','100','ro','left','str','false','LABEL','N','점검작업상태','workPmiList','gridbox','TAPMINSLIST','PMSCHED_STATUS','DREAM','3.00','LABEL','pmiSchedStatus',CONVERT(CHAR(8),GETDATE(),112)+REPLACE(CONVERT(CHAR(8),GETDATE(),108),':',''),CONVERT(CHAR(8),GETDATE(),112)+REPLACE(CONVERT(CHAR(8),GETDATE(),108),':','')  ,'Y' ); </v>
      </c>
    </row>
    <row r="17" spans="1:50" x14ac:dyDescent="0.3">
      <c r="A17" s="64">
        <v>16</v>
      </c>
      <c r="B17" s="66" t="s">
        <v>36</v>
      </c>
      <c r="C17" s="67" t="s">
        <v>42</v>
      </c>
      <c r="D17" s="67" t="s">
        <v>130</v>
      </c>
      <c r="E17" s="67" t="s">
        <v>131</v>
      </c>
      <c r="F17" s="64" t="s">
        <v>406</v>
      </c>
      <c r="G17" s="64" t="s">
        <v>410</v>
      </c>
      <c r="H17" s="64"/>
      <c r="I17" s="67" t="s">
        <v>91</v>
      </c>
      <c r="J17" s="64" t="s">
        <v>50</v>
      </c>
      <c r="K17" s="64" t="s">
        <v>403</v>
      </c>
      <c r="L17" s="64" t="s">
        <v>136</v>
      </c>
      <c r="M17" s="64" t="s">
        <v>146</v>
      </c>
      <c r="N17" s="64" t="s">
        <v>147</v>
      </c>
      <c r="O17" s="64" t="s">
        <v>44</v>
      </c>
      <c r="P17" s="64" t="s">
        <v>44</v>
      </c>
      <c r="Q17" s="64" t="s">
        <v>55</v>
      </c>
      <c r="R17" s="64" t="s">
        <v>420</v>
      </c>
      <c r="S17" s="67" t="s">
        <v>39</v>
      </c>
      <c r="T17" s="68" t="s">
        <v>405</v>
      </c>
      <c r="U17" s="65" t="s">
        <v>349</v>
      </c>
      <c r="V17" s="65" t="s">
        <v>442</v>
      </c>
      <c r="X17" s="11" t="str">
        <f t="shared" ref="X17:X20" si="39">" (select page_id from tapage where file_name='"&amp;C17&amp;"') "</f>
        <v xml:space="preserve"> (select page_id from tapage where file_name='workPmiList') </v>
      </c>
      <c r="Y17" s="1" t="s">
        <v>33</v>
      </c>
      <c r="Z17" s="11" t="str">
        <f t="shared" ref="Z17:Z20" si="40">" insert into tapggrid(pggrid_id,page_id,grid_obj_id,description,height,file_name,site_type,version_info,cre_date,upd_date) values( sqapggrid_id.nextval,"&amp;X17&amp;",'"&amp;D17&amp;"', (select description from tapage where file_name = '"&amp;C17&amp;"') ,'"&amp;E17&amp;"','"&amp;C17&amp;"','"&amp;S17&amp;"','"&amp;T17&amp;"',to_char(sysdate,'yyyymmddhh24miss'),to_char(sysdate,'yyyymmddhh24miss'));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7" s="11" t="str">
        <f t="shared" ref="AA17:AA20" si="41">" update tapggrid set height  = '"&amp;E17&amp;"', file_name  = '"&amp;C17&amp;"', site_type  = '"&amp;S17&amp;"', version_info  = '"&amp;T17&amp;"',  upd_date  = to_char(sysdate,'yyyymmddhh24miss') where page_id   = "&amp;X17&amp;" and grid_obj_id   = '"&amp;D17&amp;"'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7" s="1" t="s">
        <v>33</v>
      </c>
      <c r="AC17" s="11" t="str">
        <f t="shared" ref="AC17:AC20" si="42">" insert into tapggrid(pggrid_id,page_id,grid_obj_id,description,height,file_name,site_type,version_info,cre_date,upd_date) values( next value for sqapggrid_id,"&amp;X17&amp;",'"&amp;D17&amp;"', (select description from tapage where file_name = '"&amp;C17&amp;"') ,'"&amp;E17&amp;"','"&amp;C17&amp;"','"&amp;S17&amp;"','"&amp;T17&amp;"',CONVERT(CHAR(8),GETDATE(),112)+REPLACE(CONVERT(CHAR(8),GETDATE(),108),':',''),CONVERT(CHAR(8),GETDATE(),112)+REPLACE(CONVERT(CHAR(8),GETDATE(),108),':',''));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7" s="11" t="str">
        <f t="shared" ref="AD17:AD20" si="43" xml:space="preserve"> "update tapggrid set height  = '"&amp;E17&amp;"', file_name  = '"&amp;C17&amp;"', site_type  = '"&amp;S17&amp;"', version_info  = '"&amp;T17&amp;"',  upd_date  = CONVERT(CHAR(8),GETDATE(),112)+REPLACE(CONVERT(CHAR(8),GETDATE(),108),':','') where page_id   = "&amp;X17&amp;" and grid_obj_id   = '"&amp;D17&amp;"'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7" s="1" t="s">
        <v>33</v>
      </c>
      <c r="AF17" s="11" t="str">
        <f t="shared" ref="AF17:AF20" si="44">" (select pggrid_id from tapggrid where page_id = "&amp;X17&amp;"  and grid_obj_id = '"&amp;D17&amp;"' )"</f>
        <v xml:space="preserve"> (select pggrid_id from tapggrid where page_id =  (select page_id from tapage where file_name='workPmiList')   and grid_obj_id = 'gridbox' )</v>
      </c>
      <c r="AG17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7" s="11" t="str">
        <f t="shared" ref="AH17:AH20" si="45">AG17&amp;",display_yn)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7" s="1" t="s">
        <v>33</v>
      </c>
      <c r="AJ17" s="11" t="str">
        <f t="shared" ref="AJ17:AJ20" si="46">AH17&amp;" values( sqapggridcol_id.nextval ,"&amp;AF17&amp;",'"&amp;F17&amp;"','"&amp;I17&amp;"','"&amp;R17&amp;"','"&amp;J17&amp;"','"&amp;K17&amp;"','"&amp;L17&amp;"','"&amp;M17&amp;"','"&amp;N17&amp;"','"&amp;Q17&amp;"','"&amp;O17&amp;"','"&amp;G17&amp;"','"&amp;C17&amp;"','"&amp;D17&amp;"','"&amp;U17&amp;"','"&amp;V17&amp;"','"&amp;S17&amp;"','"&amp;T17&amp;"','"&amp;Q17&amp;"','"&amp;R17&amp;"',to_char(sysdate,'yyyymmddhh24miss'),to_char(sysdate,'yyyymmddhh24miss'),'"&amp;P17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),'STARTDATE','260','pmiInitWrkDate','100','datero','center','str','true','LABEL','N','점검시작일자','workPmiList','gridbox','TAPMINSLIST','START_DATE','DREAM','3.00','LABEL','pmiInitWrkDate',to_char(sysdate,'yyyymmddhh24miss'),to_char(sysdate,'yyyymmddhh24miss'),'N' ); </v>
      </c>
      <c r="AK17" s="11" t="str">
        <f t="shared" ref="AK17:AK20" si="47">" update tapggridcol set ord_no ='"&amp;I17&amp;"' , key_type = '"&amp;Q17&amp;"', key_no ='"&amp;R17&amp;"' , site_type ='"&amp;S17&amp;"', version_info ='"&amp;T17&amp;"' , basic_key_type ='"&amp;Q17&amp;"' , basic_key_no ='"&amp;R17&amp;"', width='"&amp;J17&amp;"' ,type='"&amp;K17&amp;"' ,align='"&amp;L17&amp;"' ,sort='"&amp;M17&amp;"' ,hidden='"&amp;N17&amp;"' ,system_col='"&amp;O17&amp;"' ,display_yn='"&amp;P17&amp;"' ,description='"&amp;G17&amp;"' ,file_name='"&amp;C17&amp;"' ,grid_obj_id='"&amp;D17&amp;"' ,table_name='"&amp;U17&amp;"' ,column_name='"&amp;V17&amp;"' , upd_date =to_char(sysdate,'yyyymmddhh24miss')  where pggrid_id ="&amp;AF17&amp;" and column_id = '"&amp;F17&amp;"' ; "</f>
        <v xml:space="preserve"> update tapggridcol set ord_no ='260' , key_type = 'LABEL', key_no ='pmiInitWrkDate' , site_type ='DREAM', version_info ='3.00' , basic_key_type ='LABEL' , basic_key_no ='pmiInitWrkDate', width='100' ,type='datero' ,align='center' ,sort='str' ,hidden='true' ,system_col='N' ,display_yn='N' ,description='점검시작일자' ,file_name='workPmiList' ,grid_obj_id='gridbox' ,table_name='TAPMINSLIST' ,column_name='START_DATE' , upd_date =to_char(sysdate,'yyyymmddhh24miss')  where pggrid_id = (select pggrid_id from tapggrid where page_id =  (select page_id from tapage where file_name='workPmiList')   and grid_obj_id = 'gridbox' ) and column_id = 'STARTDATE' ; </v>
      </c>
      <c r="AL17" s="1" t="s">
        <v>33</v>
      </c>
      <c r="AM17" s="11" t="str">
        <f t="shared" ref="AM17:AM20" si="48">AH17&amp;" values( next value for sqapggridcol_id ,"&amp;AF17&amp;",'"&amp;F17&amp;"','"&amp;I17&amp;"','"&amp;R17&amp;"','"&amp;J17&amp;"','"&amp;K17&amp;"','"&amp;L17&amp;"','"&amp;M17&amp;"','"&amp;N17&amp;"','"&amp;Q17&amp;"','"&amp;O17&amp;"','"&amp;G17&amp;"','"&amp;C17&amp;"','"&amp;D17&amp;"','"&amp;U17&amp;"','"&amp;V17&amp;"','"&amp;S17&amp;"','"&amp;T17&amp;"','"&amp;Q17&amp;"','"&amp;R17&amp;"',CONVERT(CHAR(8),GETDATE(),112)+REPLACE(CONVERT(CHAR(8),GETDATE(),108),':',''),CONVERT(CHAR(8),GETDATE(),112)+REPLACE(CONVERT(CHAR(8),GETDATE(),108),':','') ,'"&amp;P17&amp;"'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TARTDATE','260','pmiInitWrkDate','100','datero','center','str','true','LABEL','N','점검시작일자','workPmiList','gridbox','TAPMINSLIST','START_DATE','DREAM','3.00','LABEL','pmiInitWrkDate',CONVERT(CHAR(8),GETDATE(),112)+REPLACE(CONVERT(CHAR(8),GETDATE(),108),':',''),CONVERT(CHAR(8),GETDATE(),112)+REPLACE(CONVERT(CHAR(8),GETDATE(),108),':','') ,'N' ); </v>
      </c>
      <c r="AN17" s="11" t="str">
        <f t="shared" ref="AN17:AN20" si="49">" update tapggridcol set ord_no ='"&amp;I17&amp;"' , key_type = '"&amp;Q17&amp;"', key_no ='"&amp;R17&amp;"' , site_type ='"&amp;S17&amp;"', version_info ='"&amp;T17&amp;"' , basic_key_type ='"&amp;Q17&amp;"' , basic_key_no ='"&amp;R17&amp;"', width='"&amp;J17&amp;"' ,type='"&amp;K17&amp;"' ,align='"&amp;L17&amp;"' ,sort='"&amp;M17&amp;"' ,hidden='"&amp;N17&amp;"' ,system_col='"&amp;O17&amp;"',display_yn='"&amp;P17&amp;"'  ,description='"&amp;G17&amp;"' ,file_name='"&amp;C17&amp;"' ,grid_obj_id='"&amp;D17&amp;"' ,table_name='"&amp;U17&amp;"' ,column_name='"&amp;V17&amp;"' , upd_date =CONVERT(CHAR(8),GETDATE(),112)+REPLACE(CONVERT(CHAR(8),GETDATE(),108),':','')  where pggrid_id ="&amp;AF17&amp;" and column_id = '"&amp;F17&amp;"' ; "</f>
        <v xml:space="preserve"> update tapggridcol set ord_no ='260' , key_type = 'LABEL', key_no ='pmiInitWrkDate' , site_type ='DREAM', version_info ='3.00' , basic_key_type ='LABEL' , basic_key_no ='pmiInitWrkDate', width='100' ,type='datero' ,align='center' ,sort='str' ,hidden='true' ,system_col='N',display_yn='N'  ,description='점검시작일자' ,file_name='workPmiList' ,grid_obj_id='gridbox' ,table_name='TAPMINSLIST' ,column_name='START_DATE' , upd_date =CONVERT(CHAR(8),GETDATE(),112)+REPLACE(CONVERT(CHAR(8),GETDATE(),108),':','')  where pggrid_id = (select pggrid_id from tapggrid where page_id =  (select page_id from tapage where file_name='workPmiList')   and grid_obj_id = 'gridbox' ) and column_id = 'STARTDATE' ; </v>
      </c>
      <c r="AO17" s="1" t="s">
        <v>33</v>
      </c>
      <c r="AP17" s="11" t="str">
        <f t="shared" ref="AP17:AP20" si="50">" insert into tapggrid(pggrid_id,page_id,grid_obj_id,description,height,file_name,site_type,version_info,cre_date,upd_date) values( sqapggrid_id.nextval,"&amp;X17&amp;",'"&amp;D17&amp;"', (select description from tapage where file_name = '"&amp;C17&amp;"') ,'"&amp;E17&amp;"','"&amp;C17&amp;"','"&amp;S17&amp;"','"&amp;T17&amp;"',to_char(sysdate,'yyyymmddhh24miss'),to_char(sysdate,'yyyymmddhh24miss'));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7" s="11" t="str">
        <f t="shared" ref="AQ17:AQ20" si="51">AH17&amp;" values( sqapggridcol_id.nextval ,"&amp;AF17&amp;",'"&amp;F17&amp;"','"&amp;I17&amp;"','"&amp;R17&amp;"','"&amp;J17&amp;"','"&amp;K17&amp;"','"&amp;L17&amp;"','"&amp;M17&amp;"','true','"&amp;Q17&amp;"','"&amp;O17&amp;"','"&amp;G17&amp;"','"&amp;C17&amp;"','"&amp;D17&amp;"','"&amp;U17&amp;"','"&amp;V17&amp;"','"&amp;S17&amp;"','"&amp;T17&amp;"','"&amp;Q17&amp;"','"&amp;R17&amp;"',to_char(sysdate,'yyyymmddhh24miss'),to_char(sysdate,'yyyymmddhh24miss')  ,'"&amp;P17&amp;"'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),'STARTDATE','260','pmiInitWrkDate','100','datero','center','str','true','LABEL','N','점검시작일자','workPmiList','gridbox','TAPMINSLIST','START_DATE','DREAM','3.00','LABEL','pmiInitWrkDate',to_char(sysdate,'yyyymmddhh24miss'),to_char(sysdate,'yyyymmddhh24miss')  ,'N' ); </v>
      </c>
      <c r="AR17" s="11" t="str">
        <f t="shared" ref="AR17:AR20" si="52">" insert into tapggrid(pggrid_id,page_id,grid_obj_id,description,height,file_name,site_type,version_info,cre_date,upd_date) values( next value for sqapggrid_id,"&amp;X17&amp;",'"&amp;D17&amp;"', (select description from tapage where file_name = '"&amp;C17&amp;"') ,'"&amp;E17&amp;"','"&amp;C17&amp;"','"&amp;S17&amp;"','"&amp;T17&amp;"',CONVERT(CHAR(8),GETDATE(),112)+REPLACE(CONVERT(CHAR(8),GETDATE(),108),':',''),CONVERT(CHAR(8),GETDATE(),112)+REPLACE(CONVERT(CHAR(8),GETDATE(),108),':',''));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7" s="11" t="str">
        <f t="shared" ref="AS17:AS20" si="53">AH17&amp;" values( next value for sqapggridcol_id ,"&amp;AF17&amp;",'"&amp;F17&amp;"','"&amp;I17&amp;"','"&amp;R17&amp;"','"&amp;J17&amp;"','"&amp;K17&amp;"','"&amp;L17&amp;"','"&amp;M17&amp;"','true','"&amp;Q17&amp;"','"&amp;O17&amp;"','"&amp;G17&amp;"','"&amp;C17&amp;"','"&amp;D17&amp;"','"&amp;U17&amp;"','"&amp;V17&amp;"','"&amp;S17&amp;"','"&amp;T17&amp;"','"&amp;Q17&amp;"','"&amp;R17&amp;"',CONVERT(CHAR(8),GETDATE(),112)+REPLACE(CONVERT(CHAR(8),GETDATE(),108),':',''),CONVERT(CHAR(8),GETDATE(),112)+REPLACE(CONVERT(CHAR(8),GETDATE(),108),':','')  ,'"&amp;P17&amp;"'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TARTDATE','260','pmiInitWrkDate','100','datero','center','str','true','LABEL','N','점검시작일자','workPmiList','gridbox','TAPMINSLIST','START_DATE','DREAM','3.00','LABEL','pmiInitWrkDate',CONVERT(CHAR(8),GETDATE(),112)+REPLACE(CONVERT(CHAR(8),GETDATE(),108),':',''),CONVERT(CHAR(8),GETDATE(),112)+REPLACE(CONVERT(CHAR(8),GETDATE(),108),':','')  ,'N' ); </v>
      </c>
      <c r="AT17" s="1" t="s">
        <v>33</v>
      </c>
      <c r="AU17" s="11" t="str">
        <f t="shared" ref="AU17:AU20" si="54">" insert into tapggrid(pggrid_id,page_id,grid_obj_id,description,height,file_name,site_type,version_info,cre_date,upd_date) values( sqapggrid_id.nextval,"&amp;X17&amp;",'"&amp;D17&amp;"', (select description from tapage where file_name = '"&amp;C17&amp;"') ,'"&amp;E17&amp;"','"&amp;C17&amp;"','"&amp;S17&amp;"','"&amp;T17&amp;"',to_char(sysdate,'yyyymmddhh24miss'),to_char(sysdate,'yyyymmddhh24miss'));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7" s="11" t="str">
        <f t="shared" ref="AV17:AV20" si="55">AH17&amp;" values( sqapggridcol_id.nextval ,"&amp;AF17&amp;",'"&amp;F17&amp;"','"&amp;I17&amp;"','"&amp;R17&amp;"','"&amp;J17&amp;"','"&amp;K17&amp;"','"&amp;L17&amp;"','"&amp;M17&amp;"','false','"&amp;Q17&amp;"','"&amp;O17&amp;"','"&amp;G17&amp;"','"&amp;C17&amp;"','"&amp;D17&amp;"','"&amp;U17&amp;"','"&amp;V17&amp;"','"&amp;S17&amp;"','"&amp;T17&amp;"','"&amp;Q17&amp;"','"&amp;R17&amp;"',to_char(sysdate,'yyyymmddhh24miss'),to_char(sysdate,'yyyymmddhh24miss') ,'"&amp;P17&amp;"'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),'STARTDATE','260','pmiInitWrkDate','100','datero','center','str','false','LABEL','N','점검시작일자','workPmiList','gridbox','TAPMINSLIST','START_DATE','DREAM','3.00','LABEL','pmiInitWrkDate',to_char(sysdate,'yyyymmddhh24miss'),to_char(sysdate,'yyyymmddhh24miss') ,'N'  ); </v>
      </c>
      <c r="AW17" s="11" t="str">
        <f t="shared" ref="AW17:AW20" si="56">" insert into tapggrid(pggrid_id,page_id,grid_obj_id,description,height,file_name,site_type,version_info,cre_date,upd_date) values( next value for sqapggrid_id,"&amp;X17&amp;",'"&amp;D17&amp;"', (select description from tapage where file_name = '"&amp;C17&amp;"') ,'"&amp;E17&amp;"','"&amp;C17&amp;"','"&amp;S17&amp;"','"&amp;T17&amp;"',CONVERT(CHAR(8),GETDATE(),112)+REPLACE(CONVERT(CHAR(8),GETDATE(),108),':',''),CONVERT(CHAR(8),GETDATE(),112)+REPLACE(CONVERT(CHAR(8),GETDATE(),108),':',''));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7" s="11" t="str">
        <f t="shared" ref="AX17:AX20" si="57">AH17&amp;" values( next value for sqapggridcol_id ,"&amp;AF17&amp;",'"&amp;F17&amp;"','"&amp;I17&amp;"','"&amp;R17&amp;"','"&amp;J17&amp;"','"&amp;K17&amp;"','"&amp;L17&amp;"','"&amp;M17&amp;"','false','"&amp;Q17&amp;"','"&amp;O17&amp;"','"&amp;G17&amp;"','"&amp;C17&amp;"','"&amp;D17&amp;"','"&amp;U17&amp;"','"&amp;V17&amp;"','"&amp;S17&amp;"','"&amp;T17&amp;"','"&amp;Q17&amp;"','"&amp;R17&amp;"',CONVERT(CHAR(8),GETDATE(),112)+REPLACE(CONVERT(CHAR(8),GETDATE(),108),':',''),CONVERT(CHAR(8),GETDATE(),112)+REPLACE(CONVERT(CHAR(8),GETDATE(),108),':','')  ,'"&amp;P17&amp;"'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TARTDATE','260','pmiInitWrkDate','100','datero','center','str','false','LABEL','N','점검시작일자','workPmiList','gridbox','TAPMINSLIST','START_DATE','DREAM','3.00','LABEL','pmiInitWrkDate',CONVERT(CHAR(8),GETDATE(),112)+REPLACE(CONVERT(CHAR(8),GETDATE(),108),':',''),CONVERT(CHAR(8),GETDATE(),112)+REPLACE(CONVERT(CHAR(8),GETDATE(),108),':','')  ,'N' ); </v>
      </c>
    </row>
    <row r="18" spans="1:50" x14ac:dyDescent="0.3">
      <c r="A18" s="64">
        <v>17</v>
      </c>
      <c r="B18" s="66" t="s">
        <v>36</v>
      </c>
      <c r="C18" s="67" t="s">
        <v>42</v>
      </c>
      <c r="D18" s="67" t="s">
        <v>130</v>
      </c>
      <c r="E18" s="67" t="s">
        <v>131</v>
      </c>
      <c r="F18" s="64" t="s">
        <v>407</v>
      </c>
      <c r="G18" s="64" t="s">
        <v>411</v>
      </c>
      <c r="H18" s="64"/>
      <c r="I18" s="67" t="s">
        <v>89</v>
      </c>
      <c r="J18" s="64" t="s">
        <v>140</v>
      </c>
      <c r="K18" s="64" t="s">
        <v>419</v>
      </c>
      <c r="L18" s="64" t="s">
        <v>414</v>
      </c>
      <c r="M18" s="64" t="s">
        <v>146</v>
      </c>
      <c r="N18" s="64" t="s">
        <v>147</v>
      </c>
      <c r="O18" s="64" t="s">
        <v>44</v>
      </c>
      <c r="P18" s="64" t="s">
        <v>44</v>
      </c>
      <c r="Q18" s="64" t="s">
        <v>55</v>
      </c>
      <c r="R18" s="64" t="s">
        <v>418</v>
      </c>
      <c r="S18" s="67" t="s">
        <v>39</v>
      </c>
      <c r="T18" s="68" t="s">
        <v>405</v>
      </c>
      <c r="U18" s="65" t="s">
        <v>349</v>
      </c>
      <c r="V18" s="65" t="s">
        <v>443</v>
      </c>
      <c r="X18" s="11" t="str">
        <f t="shared" si="39"/>
        <v xml:space="preserve"> (select page_id from tapage where file_name='workPmiList') </v>
      </c>
      <c r="Y18" s="1" t="s">
        <v>33</v>
      </c>
      <c r="Z18" s="11" t="str">
        <f t="shared" si="40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8" s="11" t="str">
        <f t="shared" si="41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8" s="1" t="s">
        <v>33</v>
      </c>
      <c r="AC18" s="11" t="str">
        <f t="shared" si="42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8" s="11" t="str">
        <f t="shared" si="43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8" s="1" t="s">
        <v>33</v>
      </c>
      <c r="AF18" s="11" t="str">
        <f t="shared" si="44"/>
        <v xml:space="preserve"> (select pggrid_id from tapggrid where page_id =  (select page_id from tapage where file_name='workPmiList')   and grid_obj_id = 'gridbox' )</v>
      </c>
      <c r="AG18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8" s="11" t="str">
        <f t="shared" si="4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8" s="1" t="s">
        <v>33</v>
      </c>
      <c r="AJ18" s="11" t="str">
        <f t="shared" si="4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),'STARTTIME','270','pmiFromTime','80','timero','center','str','true','LABEL','N','점검시작시간','workPmiList','gridbox','TAPMINSLIST','START_TIME','DREAM','3.00','LABEL','pmiFromTime',to_char(sysdate,'yyyymmddhh24miss'),to_char(sysdate,'yyyymmddhh24miss'),'N' ); </v>
      </c>
      <c r="AK18" s="11" t="str">
        <f t="shared" si="47"/>
        <v xml:space="preserve"> update tapggridcol set ord_no ='270' , key_type = 'LABEL', key_no ='pmiFromTime' , site_type ='DREAM', version_info ='3.00' , basic_key_type ='LABEL' , basic_key_no ='pmiFromTime', width='80' ,type='timero' ,align='center' ,sort='str' ,hidden='true' ,system_col='N' ,display_yn='N' ,description='점검시작시간' ,file_name='workPmiList' ,grid_obj_id='gridbox' ,table_name='TAPMINSLIST' ,column_name='START_TIME' , upd_date =to_char(sysdate,'yyyymmddhh24miss')  where pggrid_id = (select pggrid_id from tapggrid where page_id =  (select page_id from tapage where file_name='workPmiList')   and grid_obj_id = 'gridbox' ) and column_id = 'STARTTIME' ; </v>
      </c>
      <c r="AL18" s="1" t="s">
        <v>33</v>
      </c>
      <c r="AM18" s="11" t="str">
        <f t="shared" si="4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TARTTIME','270','pmiFromTime','80','timero','center','str','true','LABEL','N','점검시작시간','workPmiList','gridbox','TAPMINSLIST','START_TIME','DREAM','3.00','LABEL','pmiFromTime',CONVERT(CHAR(8),GETDATE(),112)+REPLACE(CONVERT(CHAR(8),GETDATE(),108),':',''),CONVERT(CHAR(8),GETDATE(),112)+REPLACE(CONVERT(CHAR(8),GETDATE(),108),':','') ,'N' ); </v>
      </c>
      <c r="AN18" s="11" t="str">
        <f t="shared" si="49"/>
        <v xml:space="preserve"> update tapggridcol set ord_no ='270' , key_type = 'LABEL', key_no ='pmiFromTime' , site_type ='DREAM', version_info ='3.00' , basic_key_type ='LABEL' , basic_key_no ='pmiFromTime', width='80' ,type='timero' ,align='center' ,sort='str' ,hidden='true' ,system_col='N',display_yn='N'  ,description='점검시작시간' ,file_name='workPmiList' ,grid_obj_id='gridbox' ,table_name='TAPMINSLIST' ,column_name='START_TIME' , upd_date =CONVERT(CHAR(8),GETDATE(),112)+REPLACE(CONVERT(CHAR(8),GETDATE(),108),':','')  where pggrid_id = (select pggrid_id from tapggrid where page_id =  (select page_id from tapage where file_name='workPmiList')   and grid_obj_id = 'gridbox' ) and column_id = 'STARTTIME' ; </v>
      </c>
      <c r="AO18" s="1" t="s">
        <v>33</v>
      </c>
      <c r="AP18" s="11" t="str">
        <f t="shared" si="50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8" s="11" t="str">
        <f t="shared" si="51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),'STARTTIME','270','pmiFromTime','80','timero','center','str','true','LABEL','N','점검시작시간','workPmiList','gridbox','TAPMINSLIST','START_TIME','DREAM','3.00','LABEL','pmiFromTime',to_char(sysdate,'yyyymmddhh24miss'),to_char(sysdate,'yyyymmddhh24miss')  ,'N' ); </v>
      </c>
      <c r="AR18" s="11" t="str">
        <f t="shared" si="52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8" s="11" t="str">
        <f t="shared" si="5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TARTTIME','270','pmiFromTime','80','timero','center','str','true','LABEL','N','점검시작시간','workPmiList','gridbox','TAPMINSLIST','START_TIME','DREAM','3.00','LABEL','pmiFromTime',CONVERT(CHAR(8),GETDATE(),112)+REPLACE(CONVERT(CHAR(8),GETDATE(),108),':',''),CONVERT(CHAR(8),GETDATE(),112)+REPLACE(CONVERT(CHAR(8),GETDATE(),108),':','')  ,'N' ); </v>
      </c>
      <c r="AT18" s="1" t="s">
        <v>33</v>
      </c>
      <c r="AU18" s="11" t="str">
        <f t="shared" si="54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8" s="11" t="str">
        <f t="shared" si="5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),'STARTTIME','270','pmiFromTime','80','timero','center','str','false','LABEL','N','점검시작시간','workPmiList','gridbox','TAPMINSLIST','START_TIME','DREAM','3.00','LABEL','pmiFromTime',to_char(sysdate,'yyyymmddhh24miss'),to_char(sysdate,'yyyymmddhh24miss') ,'N'  ); </v>
      </c>
      <c r="AW18" s="11" t="str">
        <f t="shared" si="56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8" s="11" t="str">
        <f t="shared" si="5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STARTTIME','270','pmiFromTime','80','timero','center','str','false','LABEL','N','점검시작시간','workPmiList','gridbox','TAPMINSLIST','START_TIME','DREAM','3.00','LABEL','pmiFromTime',CONVERT(CHAR(8),GETDATE(),112)+REPLACE(CONVERT(CHAR(8),GETDATE(),108),':',''),CONVERT(CHAR(8),GETDATE(),112)+REPLACE(CONVERT(CHAR(8),GETDATE(),108),':','')  ,'N' ); </v>
      </c>
    </row>
    <row r="19" spans="1:50" x14ac:dyDescent="0.3">
      <c r="A19" s="64">
        <v>18</v>
      </c>
      <c r="B19" s="66" t="s">
        <v>36</v>
      </c>
      <c r="C19" s="67" t="s">
        <v>42</v>
      </c>
      <c r="D19" s="67" t="s">
        <v>130</v>
      </c>
      <c r="E19" s="67" t="s">
        <v>131</v>
      </c>
      <c r="F19" s="64" t="s">
        <v>408</v>
      </c>
      <c r="G19" s="64" t="s">
        <v>412</v>
      </c>
      <c r="H19" s="64"/>
      <c r="I19" s="67" t="s">
        <v>390</v>
      </c>
      <c r="J19" s="64" t="s">
        <v>50</v>
      </c>
      <c r="K19" s="64" t="s">
        <v>403</v>
      </c>
      <c r="L19" s="64" t="s">
        <v>136</v>
      </c>
      <c r="M19" s="64" t="s">
        <v>146</v>
      </c>
      <c r="N19" s="64" t="s">
        <v>147</v>
      </c>
      <c r="O19" s="64" t="s">
        <v>44</v>
      </c>
      <c r="P19" s="64" t="s">
        <v>44</v>
      </c>
      <c r="Q19" s="64" t="s">
        <v>55</v>
      </c>
      <c r="R19" s="64" t="s">
        <v>421</v>
      </c>
      <c r="S19" s="67" t="s">
        <v>39</v>
      </c>
      <c r="T19" s="68" t="s">
        <v>405</v>
      </c>
      <c r="U19" s="65" t="s">
        <v>349</v>
      </c>
      <c r="V19" s="65" t="s">
        <v>444</v>
      </c>
      <c r="X19" s="11" t="str">
        <f t="shared" si="39"/>
        <v xml:space="preserve"> (select page_id from tapage where file_name='workPmiList') </v>
      </c>
      <c r="Y19" s="1" t="s">
        <v>33</v>
      </c>
      <c r="Z19" s="11" t="str">
        <f t="shared" si="40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19" s="11" t="str">
        <f t="shared" si="41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19" s="1" t="s">
        <v>33</v>
      </c>
      <c r="AC19" s="11" t="str">
        <f t="shared" si="42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19" s="11" t="str">
        <f t="shared" si="43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19" s="1" t="s">
        <v>33</v>
      </c>
      <c r="AF19" s="11" t="str">
        <f t="shared" si="44"/>
        <v xml:space="preserve"> (select pggrid_id from tapggrid where page_id =  (select page_id from tapage where file_name='workPmiList')   and grid_obj_id = 'gridbox' )</v>
      </c>
      <c r="AG19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19" s="11" t="str">
        <f t="shared" si="4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19" s="1" t="s">
        <v>33</v>
      </c>
      <c r="AJ19" s="11" t="str">
        <f t="shared" si="4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),'ENDDATE','280','pmieEndDate','100','datero','center','str','true','LABEL','N','점검종료일자','workPmiList','gridbox','TAPMINSLIST','END_DATE','DREAM','3.00','LABEL','pmieEndDate',to_char(sysdate,'yyyymmddhh24miss'),to_char(sysdate,'yyyymmddhh24miss'),'N' ); </v>
      </c>
      <c r="AK19" s="11" t="str">
        <f t="shared" si="47"/>
        <v xml:space="preserve"> update tapggridcol set ord_no ='280' , key_type = 'LABEL', key_no ='pmieEndDate' , site_type ='DREAM', version_info ='3.00' , basic_key_type ='LABEL' , basic_key_no ='pmieEndDate', width='100' ,type='datero' ,align='center' ,sort='str' ,hidden='true' ,system_col='N' ,display_yn='N' ,description='점검종료일자' ,file_name='workPmiList' ,grid_obj_id='gridbox' ,table_name='TAPMINSLIST' ,column_name='END_DATE' , upd_date =to_char(sysdate,'yyyymmddhh24miss')  where pggrid_id = (select pggrid_id from tapggrid where page_id =  (select page_id from tapage where file_name='workPmiList')   and grid_obj_id = 'gridbox' ) and column_id = 'ENDDATE' ; </v>
      </c>
      <c r="AL19" s="1" t="s">
        <v>33</v>
      </c>
      <c r="AM19" s="11" t="str">
        <f t="shared" si="4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NDDATE','280','pmieEndDate','100','datero','center','str','true','LABEL','N','점검종료일자','workPmiList','gridbox','TAPMINSLIST','END_DATE','DREAM','3.00','LABEL','pmieEndDate',CONVERT(CHAR(8),GETDATE(),112)+REPLACE(CONVERT(CHAR(8),GETDATE(),108),':',''),CONVERT(CHAR(8),GETDATE(),112)+REPLACE(CONVERT(CHAR(8),GETDATE(),108),':','') ,'N' ); </v>
      </c>
      <c r="AN19" s="11" t="str">
        <f t="shared" si="49"/>
        <v xml:space="preserve"> update tapggridcol set ord_no ='280' , key_type = 'LABEL', key_no ='pmieEndDate' , site_type ='DREAM', version_info ='3.00' , basic_key_type ='LABEL' , basic_key_no ='pmieEndDate', width='100' ,type='datero' ,align='center' ,sort='str' ,hidden='true' ,system_col='N',display_yn='N'  ,description='점검종료일자' ,file_name='workPmiList' ,grid_obj_id='gridbox' ,table_name='TAPMINSLIST' ,column_name='END_DATE' , upd_date =CONVERT(CHAR(8),GETDATE(),112)+REPLACE(CONVERT(CHAR(8),GETDATE(),108),':','')  where pggrid_id = (select pggrid_id from tapggrid where page_id =  (select page_id from tapage where file_name='workPmiList')   and grid_obj_id = 'gridbox' ) and column_id = 'ENDDATE' ; </v>
      </c>
      <c r="AO19" s="1" t="s">
        <v>33</v>
      </c>
      <c r="AP19" s="11" t="str">
        <f t="shared" si="50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19" s="11" t="str">
        <f t="shared" si="51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),'ENDDATE','280','pmieEndDate','100','datero','center','str','true','LABEL','N','점검종료일자','workPmiList','gridbox','TAPMINSLIST','END_DATE','DREAM','3.00','LABEL','pmieEndDate',to_char(sysdate,'yyyymmddhh24miss'),to_char(sysdate,'yyyymmddhh24miss')  ,'N' ); </v>
      </c>
      <c r="AR19" s="11" t="str">
        <f t="shared" si="52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19" s="11" t="str">
        <f t="shared" si="5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NDDATE','280','pmieEndDate','100','datero','center','str','true','LABEL','N','점검종료일자','workPmiList','gridbox','TAPMINSLIST','END_DATE','DREAM','3.00','LABEL','pmieEndDate',CONVERT(CHAR(8),GETDATE(),112)+REPLACE(CONVERT(CHAR(8),GETDATE(),108),':',''),CONVERT(CHAR(8),GETDATE(),112)+REPLACE(CONVERT(CHAR(8),GETDATE(),108),':','')  ,'N' ); </v>
      </c>
      <c r="AT19" s="1" t="s">
        <v>33</v>
      </c>
      <c r="AU19" s="11" t="str">
        <f t="shared" si="54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19" s="11" t="str">
        <f t="shared" si="5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),'ENDDATE','280','pmieEndDate','100','datero','center','str','false','LABEL','N','점검종료일자','workPmiList','gridbox','TAPMINSLIST','END_DATE','DREAM','3.00','LABEL','pmieEndDate',to_char(sysdate,'yyyymmddhh24miss'),to_char(sysdate,'yyyymmddhh24miss') ,'N'  ); </v>
      </c>
      <c r="AW19" s="11" t="str">
        <f t="shared" si="56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19" s="11" t="str">
        <f t="shared" si="5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NDDATE','280','pmieEndDate','100','datero','center','str','false','LABEL','N','점검종료일자','workPmiList','gridbox','TAPMINSLIST','END_DATE','DREAM','3.00','LABEL','pmieEndDate',CONVERT(CHAR(8),GETDATE(),112)+REPLACE(CONVERT(CHAR(8),GETDATE(),108),':',''),CONVERT(CHAR(8),GETDATE(),112)+REPLACE(CONVERT(CHAR(8),GETDATE(),108),':','')  ,'N' ); </v>
      </c>
    </row>
    <row r="20" spans="1:50" x14ac:dyDescent="0.3">
      <c r="A20" s="64">
        <v>19</v>
      </c>
      <c r="B20" s="66" t="s">
        <v>36</v>
      </c>
      <c r="C20" s="67" t="s">
        <v>42</v>
      </c>
      <c r="D20" s="67" t="s">
        <v>130</v>
      </c>
      <c r="E20" s="67" t="s">
        <v>131</v>
      </c>
      <c r="F20" s="64" t="s">
        <v>409</v>
      </c>
      <c r="G20" s="64" t="s">
        <v>413</v>
      </c>
      <c r="H20" s="64"/>
      <c r="I20" s="67" t="s">
        <v>391</v>
      </c>
      <c r="J20" s="64" t="s">
        <v>140</v>
      </c>
      <c r="K20" s="64" t="s">
        <v>419</v>
      </c>
      <c r="L20" s="64" t="s">
        <v>414</v>
      </c>
      <c r="M20" s="64" t="s">
        <v>146</v>
      </c>
      <c r="N20" s="64" t="s">
        <v>147</v>
      </c>
      <c r="O20" s="64" t="s">
        <v>44</v>
      </c>
      <c r="P20" s="64" t="s">
        <v>44</v>
      </c>
      <c r="Q20" s="64" t="s">
        <v>55</v>
      </c>
      <c r="R20" s="64" t="s">
        <v>422</v>
      </c>
      <c r="S20" s="67" t="s">
        <v>39</v>
      </c>
      <c r="T20" s="68" t="s">
        <v>405</v>
      </c>
      <c r="U20" s="65" t="s">
        <v>349</v>
      </c>
      <c r="V20" s="65" t="s">
        <v>445</v>
      </c>
      <c r="X20" s="11" t="str">
        <f t="shared" si="39"/>
        <v xml:space="preserve"> (select page_id from tapage where file_name='workPmiList') </v>
      </c>
      <c r="Y20" s="1" t="s">
        <v>33</v>
      </c>
      <c r="Z20" s="11" t="str">
        <f t="shared" si="40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0" s="11" t="str">
        <f t="shared" si="41"/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0" s="1" t="s">
        <v>33</v>
      </c>
      <c r="AC20" s="11" t="str">
        <f t="shared" si="42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0" s="11" t="str">
        <f t="shared" si="43"/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0" s="1" t="s">
        <v>33</v>
      </c>
      <c r="AF20" s="11" t="str">
        <f t="shared" si="44"/>
        <v xml:space="preserve"> (select pggrid_id from tapggrid where page_id =  (select page_id from tapage where file_name='workPmiList')   and grid_obj_id = 'gridbox' )</v>
      </c>
      <c r="AG20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0" s="11" t="str">
        <f t="shared" si="4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0" s="1" t="s">
        <v>33</v>
      </c>
      <c r="AJ20" s="11" t="str">
        <f t="shared" si="4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),'ENDTIME','290','pmiToTime','80','timero','center','str','true','LABEL','N','점검종료시간','workPmiList','gridbox','TAPMINSLIST','END_TIME','DREAM','3.00','LABEL','pmiToTime',to_char(sysdate,'yyyymmddhh24miss'),to_char(sysdate,'yyyymmddhh24miss'),'N' ); </v>
      </c>
      <c r="AK20" s="11" t="str">
        <f t="shared" si="47"/>
        <v xml:space="preserve"> update tapggridcol set ord_no ='290' , key_type = 'LABEL', key_no ='pmiToTime' , site_type ='DREAM', version_info ='3.00' , basic_key_type ='LABEL' , basic_key_no ='pmiToTime', width='80' ,type='timero' ,align='center' ,sort='str' ,hidden='true' ,system_col='N' ,display_yn='N' ,description='점검종료시간' ,file_name='workPmiList' ,grid_obj_id='gridbox' ,table_name='TAPMINSLIST' ,column_name='END_TIME' , upd_date =to_char(sysdate,'yyyymmddhh24miss')  where pggrid_id = (select pggrid_id from tapggrid where page_id =  (select page_id from tapage where file_name='workPmiList')   and grid_obj_id = 'gridbox' ) and column_id = 'ENDTIME' ; </v>
      </c>
      <c r="AL20" s="1" t="s">
        <v>33</v>
      </c>
      <c r="AM20" s="11" t="str">
        <f t="shared" si="48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NDTIME','290','pmiToTime','80','timero','center','str','true','LABEL','N','점검종료시간','workPmiList','gridbox','TAPMINSLIST','END_TIME','DREAM','3.00','LABEL','pmiToTime',CONVERT(CHAR(8),GETDATE(),112)+REPLACE(CONVERT(CHAR(8),GETDATE(),108),':',''),CONVERT(CHAR(8),GETDATE(),112)+REPLACE(CONVERT(CHAR(8),GETDATE(),108),':','') ,'N' ); </v>
      </c>
      <c r="AN20" s="11" t="str">
        <f t="shared" si="49"/>
        <v xml:space="preserve"> update tapggridcol set ord_no ='290' , key_type = 'LABEL', key_no ='pmiToTime' , site_type ='DREAM', version_info ='3.00' , basic_key_type ='LABEL' , basic_key_no ='pmiToTime', width='80' ,type='timero' ,align='center' ,sort='str' ,hidden='true' ,system_col='N',display_yn='N'  ,description='점검종료시간' ,file_name='workPmiList' ,grid_obj_id='gridbox' ,table_name='TAPMINSLIST' ,column_name='END_TIME' , upd_date =CONVERT(CHAR(8),GETDATE(),112)+REPLACE(CONVERT(CHAR(8),GETDATE(),108),':','')  where pggrid_id = (select pggrid_id from tapggrid where page_id =  (select page_id from tapage where file_name='workPmiList')   and grid_obj_id = 'gridbox' ) and column_id = 'ENDTIME' ; </v>
      </c>
      <c r="AO20" s="1" t="s">
        <v>33</v>
      </c>
      <c r="AP20" s="11" t="str">
        <f t="shared" si="50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0" s="11" t="str">
        <f t="shared" si="51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),'ENDTIME','290','pmiToTime','80','timero','center','str','true','LABEL','N','점검종료시간','workPmiList','gridbox','TAPMINSLIST','END_TIME','DREAM','3.00','LABEL','pmiToTime',to_char(sysdate,'yyyymmddhh24miss'),to_char(sysdate,'yyyymmddhh24miss')  ,'N' ); </v>
      </c>
      <c r="AR20" s="11" t="str">
        <f t="shared" si="52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0" s="11" t="str">
        <f t="shared" si="53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NDTIME','290','pmiToTime','80','timero','center','str','true','LABEL','N','점검종료시간','workPmiList','gridbox','TAPMINSLIST','END_TIME','DREAM','3.00','LABEL','pmiToTime',CONVERT(CHAR(8),GETDATE(),112)+REPLACE(CONVERT(CHAR(8),GETDATE(),108),':',''),CONVERT(CHAR(8),GETDATE(),112)+REPLACE(CONVERT(CHAR(8),GETDATE(),108),':','')  ,'N' ); </v>
      </c>
      <c r="AT20" s="1" t="s">
        <v>33</v>
      </c>
      <c r="AU20" s="11" t="str">
        <f t="shared" si="54"/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0" s="11" t="str">
        <f t="shared" si="55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),'ENDTIME','290','pmiToTime','80','timero','center','str','false','LABEL','N','점검종료시간','workPmiList','gridbox','TAPMINSLIST','END_TIME','DREAM','3.00','LABEL','pmiToTime',to_char(sysdate,'yyyymmddhh24miss'),to_char(sysdate,'yyyymmddhh24miss') ,'N'  ); </v>
      </c>
      <c r="AW20" s="11" t="str">
        <f t="shared" si="56"/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0" s="11" t="str">
        <f t="shared" si="57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ENDTIME','290','pmiToTime','80','timero','center','str','false','LABEL','N','점검종료시간','workPmiList','gridbox','TAPMINSLIST','END_TIME','DREAM','3.00','LABEL','pmiToTime',CONVERT(CHAR(8),GETDATE(),112)+REPLACE(CONVERT(CHAR(8),GETDATE(),108),':',''),CONVERT(CHAR(8),GETDATE(),112)+REPLACE(CONVERT(CHAR(8),GETDATE(),108),':','')  ,'N' ); </v>
      </c>
    </row>
    <row r="21" spans="1:50" s="61" customFormat="1" x14ac:dyDescent="0.3">
      <c r="A21" s="64">
        <v>20</v>
      </c>
      <c r="B21" s="69" t="s">
        <v>36</v>
      </c>
      <c r="C21" s="70" t="s">
        <v>42</v>
      </c>
      <c r="D21" s="70" t="s">
        <v>130</v>
      </c>
      <c r="E21" s="70" t="s">
        <v>131</v>
      </c>
      <c r="F21" s="64" t="s">
        <v>148</v>
      </c>
      <c r="G21" s="64" t="s">
        <v>83</v>
      </c>
      <c r="H21" s="71"/>
      <c r="I21" s="67" t="s">
        <v>392</v>
      </c>
      <c r="J21" s="64" t="s">
        <v>50</v>
      </c>
      <c r="K21" s="64" t="s">
        <v>144</v>
      </c>
      <c r="L21" s="64" t="s">
        <v>402</v>
      </c>
      <c r="M21" s="64" t="s">
        <v>146</v>
      </c>
      <c r="N21" s="64" t="s">
        <v>138</v>
      </c>
      <c r="O21" s="64" t="s">
        <v>44</v>
      </c>
      <c r="P21" s="64" t="s">
        <v>38</v>
      </c>
      <c r="Q21" s="64" t="s">
        <v>55</v>
      </c>
      <c r="R21" s="64" t="s">
        <v>85</v>
      </c>
      <c r="S21" s="70" t="s">
        <v>39</v>
      </c>
      <c r="T21" s="68" t="s">
        <v>405</v>
      </c>
      <c r="U21" s="65" t="s">
        <v>349</v>
      </c>
      <c r="V21" s="65" t="s">
        <v>446</v>
      </c>
      <c r="X21" s="62" t="str">
        <f>" (select page_id from tapage where file_name='"&amp;C21&amp;"') "</f>
        <v xml:space="preserve"> (select page_id from tapage where file_name='workPmiList') </v>
      </c>
      <c r="Y21" s="63" t="s">
        <v>33</v>
      </c>
      <c r="Z21" s="62" t="str">
        <f>" insert into tapggrid(pggrid_id,page_id,grid_obj_id,description,height,file_name,site_type,version_info,cre_date,upd_date) values( sqapggrid_id.nextval,"&amp;X21&amp;",'"&amp;D21&amp;"', (select description from tapage where file_name = '"&amp;C21&amp;"') ,'"&amp;E21&amp;"','"&amp;C21&amp;"','"&amp;S21&amp;"','"&amp;T21&amp;"',to_char(sysdate,'yyyymmddhh24miss'),to_char(sysdate,'yyyymmddhh24miss'));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1" s="62" t="str">
        <f>" update tapggrid set height  = '"&amp;E21&amp;"', file_name  = '"&amp;C21&amp;"', site_type  = '"&amp;S21&amp;"', version_info  = '"&amp;T21&amp;"',  upd_date  = to_char(sysdate,'yyyymmddhh24miss') where page_id   = "&amp;X21&amp;" and grid_obj_id   = '"&amp;D21&amp;"'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1" s="63" t="s">
        <v>33</v>
      </c>
      <c r="AC21" s="62" t="str">
        <f>" insert into tapggrid(pggrid_id,page_id,grid_obj_id,description,height,file_name,site_type,version_info,cre_date,upd_date) values( next value for sqapggrid_id,"&amp;X21&amp;",'"&amp;D21&amp;"', (select description from tapage where file_name = '"&amp;C21&amp;"') ,'"&amp;E21&amp;"','"&amp;C21&amp;"','"&amp;S21&amp;"','"&amp;T21&amp;"',CONVERT(CHAR(8),GETDATE(),112)+REPLACE(CONVERT(CHAR(8),GETDATE(),108),':',''),CONVERT(CHAR(8),GETDATE(),112)+REPLACE(CONVERT(CHAR(8),GETDATE(),108),':',''));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1" s="62" t="str">
        <f xml:space="preserve"> "update tapggrid set height  = '"&amp;E21&amp;"', file_name  = '"&amp;C21&amp;"', site_type  = '"&amp;S21&amp;"', version_info  = '"&amp;T21&amp;"',  upd_date  = CONVERT(CHAR(8),GETDATE(),112)+REPLACE(CONVERT(CHAR(8),GETDATE(),108),':','') where page_id   = "&amp;X21&amp;" and grid_obj_id   = '"&amp;D21&amp;"'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1" s="63" t="s">
        <v>33</v>
      </c>
      <c r="AF21" s="62" t="str">
        <f>" (select pggrid_id from tapggrid where page_id = "&amp;X21&amp;"  and grid_obj_id = '"&amp;D21&amp;"' )"</f>
        <v xml:space="preserve"> (select pggrid_id from tapggrid where page_id =  (select page_id from tapage where file_name='workPmiList')   and grid_obj_id = 'gridbox' )</v>
      </c>
      <c r="AG21" s="62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1" s="62" t="str">
        <f>AG21&amp;",display_yn)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1" s="63" t="s">
        <v>33</v>
      </c>
      <c r="AJ21" s="62" t="str">
        <f>AH21&amp;" values( sqapggridcol_id.nextval ,"&amp;AF21&amp;",'"&amp;F21&amp;"','"&amp;I21&amp;"','"&amp;R21&amp;"','"&amp;J21&amp;"','"&amp;K21&amp;"','"&amp;L21&amp;"','"&amp;M21&amp;"','"&amp;N21&amp;"','"&amp;Q21&amp;"','"&amp;O21&amp;"','"&amp;G21&amp;"','"&amp;C21&amp;"','"&amp;D21&amp;"','"&amp;U21&amp;"','"&amp;V21&amp;"','"&amp;S21&amp;"','"&amp;T21&amp;"','"&amp;Q21&amp;"','"&amp;R21&amp;"',to_char(sysdate,'yyyymmddhh24miss'),to_char(sysdate,'yyyymmddhh24miss'),'"&amp;P21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),'WORKTIME','300','pmiWorkTime','100','ro','right','str','false','LABEL','N','점검시간[분]','workPmiList','gridbox','TAPMINSLIST','WORK_TIME','DREAM','3.00','LABEL','pmiWorkTime',to_char(sysdate,'yyyymmddhh24miss'),to_char(sysdate,'yyyymmddhh24miss'),'Y' ); </v>
      </c>
      <c r="AK21" s="62" t="str">
        <f>" update tapggridcol set ord_no ='"&amp;I21&amp;"' , key_type = '"&amp;Q21&amp;"', key_no ='"&amp;R21&amp;"' , site_type ='"&amp;S21&amp;"', version_info ='"&amp;T21&amp;"' , basic_key_type ='"&amp;Q21&amp;"' , basic_key_no ='"&amp;R21&amp;"', width='"&amp;J21&amp;"' ,type='"&amp;K21&amp;"' ,align='"&amp;L21&amp;"' ,sort='"&amp;M21&amp;"' ,hidden='"&amp;N21&amp;"' ,system_col='"&amp;O21&amp;"' ,display_yn='"&amp;P21&amp;"' ,description='"&amp;G21&amp;"' ,file_name='"&amp;C21&amp;"' ,grid_obj_id='"&amp;D21&amp;"' ,table_name='"&amp;U21&amp;"' ,column_name='"&amp;V21&amp;"' , upd_date =to_char(sysdate,'yyyymmddhh24miss')  where pggrid_id ="&amp;AF21&amp;" and column_id = '"&amp;F21&amp;"' ; "</f>
        <v xml:space="preserve"> update tapggridcol set ord_no ='300' , key_type = 'LABEL', key_no ='pmiWorkTime' , site_type ='DREAM', version_info ='3.00' , basic_key_type ='LABEL' , basic_key_no ='pmiWorkTime', width='100' ,type='ro' ,align='right' ,sort='str' ,hidden='false' ,system_col='N' ,display_yn='Y' ,description='점검시간[분]' ,file_name='workPmiList' ,grid_obj_id='gridbox' ,table_name='TAPMINSLIST' ,column_name='WORK_TIME' , upd_date =to_char(sysdate,'yyyymmddhh24miss')  where pggrid_id = (select pggrid_id from tapggrid where page_id =  (select page_id from tapage where file_name='workPmiList')   and grid_obj_id = 'gridbox' ) and column_id = 'WORKTIME' ; </v>
      </c>
      <c r="AL21" s="63" t="s">
        <v>33</v>
      </c>
      <c r="AM21" s="62" t="str">
        <f>AH21&amp;" values( next value for sqapggridcol_id ,"&amp;AF21&amp;",'"&amp;F21&amp;"','"&amp;I21&amp;"','"&amp;R21&amp;"','"&amp;J21&amp;"','"&amp;K21&amp;"','"&amp;L21&amp;"','"&amp;M21&amp;"','"&amp;N21&amp;"','"&amp;Q21&amp;"','"&amp;O21&amp;"','"&amp;G21&amp;"','"&amp;C21&amp;"','"&amp;D21&amp;"','"&amp;U21&amp;"','"&amp;V21&amp;"','"&amp;S21&amp;"','"&amp;T21&amp;"','"&amp;Q21&amp;"','"&amp;R21&amp;"',CONVERT(CHAR(8),GETDATE(),112)+REPLACE(CONVERT(CHAR(8),GETDATE(),108),':',''),CONVERT(CHAR(8),GETDATE(),112)+REPLACE(CONVERT(CHAR(8),GETDATE(),108),':','') ,'"&amp;P21&amp;"'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WORKTIME','300','pmiWorkTime','100','ro','right','str','false','LABEL','N','점검시간[분]','workPmiList','gridbox','TAPMINSLIST','WORK_TIME','DREAM','3.00','LABEL','pmiWorkTime',CONVERT(CHAR(8),GETDATE(),112)+REPLACE(CONVERT(CHAR(8),GETDATE(),108),':',''),CONVERT(CHAR(8),GETDATE(),112)+REPLACE(CONVERT(CHAR(8),GETDATE(),108),':','') ,'Y' ); </v>
      </c>
      <c r="AN21" s="62" t="str">
        <f>" update tapggridcol set ord_no ='"&amp;I21&amp;"' , key_type = '"&amp;Q21&amp;"', key_no ='"&amp;R21&amp;"' , site_type ='"&amp;S21&amp;"', version_info ='"&amp;T21&amp;"' , basic_key_type ='"&amp;Q21&amp;"' , basic_key_no ='"&amp;R21&amp;"', width='"&amp;J21&amp;"' ,type='"&amp;K21&amp;"' ,align='"&amp;L21&amp;"' ,sort='"&amp;M21&amp;"' ,hidden='"&amp;N21&amp;"' ,system_col='"&amp;O21&amp;"',display_yn='"&amp;P21&amp;"'  ,description='"&amp;G21&amp;"' ,file_name='"&amp;C21&amp;"' ,grid_obj_id='"&amp;D21&amp;"' ,table_name='"&amp;U21&amp;"' ,column_name='"&amp;V21&amp;"' , upd_date =CONVERT(CHAR(8),GETDATE(),112)+REPLACE(CONVERT(CHAR(8),GETDATE(),108),':','')  where pggrid_id ="&amp;AF21&amp;" and column_id = '"&amp;F21&amp;"' ; "</f>
        <v xml:space="preserve"> update tapggridcol set ord_no ='300' , key_type = 'LABEL', key_no ='pmiWorkTime' , site_type ='DREAM', version_info ='3.00' , basic_key_type ='LABEL' , basic_key_no ='pmiWorkTime', width='100' ,type='ro' ,align='right' ,sort='str' ,hidden='false' ,system_col='N',display_yn='Y'  ,description='점검시간[분]' ,file_name='workPmiList' ,grid_obj_id='gridbox' ,table_name='TAPMINSLIST' ,column_name='WORK_TIME' , upd_date =CONVERT(CHAR(8),GETDATE(),112)+REPLACE(CONVERT(CHAR(8),GETDATE(),108),':','')  where pggrid_id = (select pggrid_id from tapggrid where page_id =  (select page_id from tapage where file_name='workPmiList')   and grid_obj_id = 'gridbox' ) and column_id = 'WORKTIME' ; </v>
      </c>
      <c r="AO21" s="63" t="s">
        <v>33</v>
      </c>
      <c r="AP21" s="62" t="str">
        <f>" insert into tapggrid(pggrid_id,page_id,grid_obj_id,description,height,file_name,site_type,version_info,cre_date,upd_date) values( sqapggrid_id.nextval,"&amp;X21&amp;",'"&amp;D21&amp;"', (select description from tapage where file_name = '"&amp;C21&amp;"') ,'"&amp;E21&amp;"','"&amp;C21&amp;"','"&amp;S21&amp;"','"&amp;T21&amp;"',to_char(sysdate,'yyyymmddhh24miss'),to_char(sysdate,'yyyymmddhh24miss'));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1" s="62" t="str">
        <f>AH21&amp;" values( sqapggridcol_id.nextval ,"&amp;AF21&amp;",'"&amp;F21&amp;"','"&amp;I21&amp;"','"&amp;R21&amp;"','"&amp;J21&amp;"','"&amp;K21&amp;"','"&amp;L21&amp;"','"&amp;M21&amp;"','true','"&amp;Q21&amp;"','"&amp;O21&amp;"','"&amp;G21&amp;"','"&amp;C21&amp;"','"&amp;D21&amp;"','"&amp;U21&amp;"','"&amp;V21&amp;"','"&amp;S21&amp;"','"&amp;T21&amp;"','"&amp;Q21&amp;"','"&amp;R21&amp;"',to_char(sysdate,'yyyymmddhh24miss'),to_char(sysdate,'yyyymmddhh24miss')  ,'"&amp;P21&amp;"'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),'WORKTIME','300','pmiWorkTime','100','ro','right','str','true','LABEL','N','점검시간[분]','workPmiList','gridbox','TAPMINSLIST','WORK_TIME','DREAM','3.00','LABEL','pmiWorkTime',to_char(sysdate,'yyyymmddhh24miss'),to_char(sysdate,'yyyymmddhh24miss')  ,'Y' ); </v>
      </c>
      <c r="AR21" s="62" t="str">
        <f>" insert into tapggrid(pggrid_id,page_id,grid_obj_id,description,height,file_name,site_type,version_info,cre_date,upd_date) values( next value for sqapggrid_id,"&amp;X21&amp;",'"&amp;D21&amp;"', (select description from tapage where file_name = '"&amp;C21&amp;"') ,'"&amp;E21&amp;"','"&amp;C21&amp;"','"&amp;S21&amp;"','"&amp;T21&amp;"',CONVERT(CHAR(8),GETDATE(),112)+REPLACE(CONVERT(CHAR(8),GETDATE(),108),':',''),CONVERT(CHAR(8),GETDATE(),112)+REPLACE(CONVERT(CHAR(8),GETDATE(),108),':',''));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1" s="62" t="str">
        <f>AH21&amp;" values( next value for sqapggridcol_id ,"&amp;AF21&amp;",'"&amp;F21&amp;"','"&amp;I21&amp;"','"&amp;R21&amp;"','"&amp;J21&amp;"','"&amp;K21&amp;"','"&amp;L21&amp;"','"&amp;M21&amp;"','true','"&amp;Q21&amp;"','"&amp;O21&amp;"','"&amp;G21&amp;"','"&amp;C21&amp;"','"&amp;D21&amp;"','"&amp;U21&amp;"','"&amp;V21&amp;"','"&amp;S21&amp;"','"&amp;T21&amp;"','"&amp;Q21&amp;"','"&amp;R21&amp;"',CONVERT(CHAR(8),GETDATE(),112)+REPLACE(CONVERT(CHAR(8),GETDATE(),108),':',''),CONVERT(CHAR(8),GETDATE(),112)+REPLACE(CONVERT(CHAR(8),GETDATE(),108),':','')  ,'"&amp;P21&amp;"'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WORKTIME','300','pmiWorkTime','100','ro','right','str','true','LABEL','N','점검시간[분]','workPmiList','gridbox','TAPMINSLIST','WORK_TIME','DREAM','3.00','LABEL','pmiWorkTime',CONVERT(CHAR(8),GETDATE(),112)+REPLACE(CONVERT(CHAR(8),GETDATE(),108),':',''),CONVERT(CHAR(8),GETDATE(),112)+REPLACE(CONVERT(CHAR(8),GETDATE(),108),':','')  ,'Y' ); </v>
      </c>
      <c r="AT21" s="63" t="s">
        <v>33</v>
      </c>
      <c r="AU21" s="62" t="str">
        <f>" insert into tapggrid(pggrid_id,page_id,grid_obj_id,description,height,file_name,site_type,version_info,cre_date,upd_date) values( sqapggrid_id.nextval,"&amp;X21&amp;",'"&amp;D21&amp;"', (select description from tapage where file_name = '"&amp;C21&amp;"') ,'"&amp;E21&amp;"','"&amp;C21&amp;"','"&amp;S21&amp;"','"&amp;T21&amp;"',to_char(sysdate,'yyyymmddhh24miss'),to_char(sysdate,'yyyymmddhh24miss'));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1" s="62" t="str">
        <f>AH21&amp;" values( sqapggridcol_id.nextval ,"&amp;AF21&amp;",'"&amp;F21&amp;"','"&amp;I21&amp;"','"&amp;R21&amp;"','"&amp;J21&amp;"','"&amp;K21&amp;"','"&amp;L21&amp;"','"&amp;M21&amp;"','false','"&amp;Q21&amp;"','"&amp;O21&amp;"','"&amp;G21&amp;"','"&amp;C21&amp;"','"&amp;D21&amp;"','"&amp;U21&amp;"','"&amp;V21&amp;"','"&amp;S21&amp;"','"&amp;T21&amp;"','"&amp;Q21&amp;"','"&amp;R21&amp;"',to_char(sysdate,'yyyymmddhh24miss'),to_char(sysdate,'yyyymmddhh24miss') ,'"&amp;P21&amp;"'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),'WORKTIME','300','pmiWorkTime','100','ro','right','str','false','LABEL','N','점검시간[분]','workPmiList','gridbox','TAPMINSLIST','WORK_TIME','DREAM','3.00','LABEL','pmiWorkTime',to_char(sysdate,'yyyymmddhh24miss'),to_char(sysdate,'yyyymmddhh24miss') ,'Y'  ); </v>
      </c>
      <c r="AW21" s="62" t="str">
        <f>" insert into tapggrid(pggrid_id,page_id,grid_obj_id,description,height,file_name,site_type,version_info,cre_date,upd_date) values( next value for sqapggrid_id,"&amp;X21&amp;",'"&amp;D21&amp;"', (select description from tapage where file_name = '"&amp;C21&amp;"') ,'"&amp;E21&amp;"','"&amp;C21&amp;"','"&amp;S21&amp;"','"&amp;T21&amp;"',CONVERT(CHAR(8),GETDATE(),112)+REPLACE(CONVERT(CHAR(8),GETDATE(),108),':',''),CONVERT(CHAR(8),GETDATE(),112)+REPLACE(CONVERT(CHAR(8),GETDATE(),108),':',''));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1" s="62" t="str">
        <f>AH21&amp;" values( next value for sqapggridcol_id ,"&amp;AF21&amp;",'"&amp;F21&amp;"','"&amp;I21&amp;"','"&amp;R21&amp;"','"&amp;J21&amp;"','"&amp;K21&amp;"','"&amp;L21&amp;"','"&amp;M21&amp;"','false','"&amp;Q21&amp;"','"&amp;O21&amp;"','"&amp;G21&amp;"','"&amp;C21&amp;"','"&amp;D21&amp;"','"&amp;U21&amp;"','"&amp;V21&amp;"','"&amp;S21&amp;"','"&amp;T21&amp;"','"&amp;Q21&amp;"','"&amp;R21&amp;"',CONVERT(CHAR(8),GETDATE(),112)+REPLACE(CONVERT(CHAR(8),GETDATE(),108),':',''),CONVERT(CHAR(8),GETDATE(),112)+REPLACE(CONVERT(CHAR(8),GETDATE(),108),':','')  ,'"&amp;P21&amp;"'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WORKTIME','300','pmiWorkTime','100','ro','right','str','false','LABEL','N','점검시간[분]','workPmiList','gridbox','TAPMINSLIST','WORK_TIME','DREAM','3.00','LABEL','pmiWorkTime',CONVERT(CHAR(8),GETDATE(),112)+REPLACE(CONVERT(CHAR(8),GETDATE(),108),':',''),CONVERT(CHAR(8),GETDATE(),112)+REPLACE(CONVERT(CHAR(8),GETDATE(),108),':','')  ,'Y' ); </v>
      </c>
    </row>
    <row r="22" spans="1:50" s="61" customFormat="1" x14ac:dyDescent="0.3">
      <c r="A22" s="64">
        <v>21</v>
      </c>
      <c r="B22" s="69" t="s">
        <v>36</v>
      </c>
      <c r="C22" s="70" t="s">
        <v>42</v>
      </c>
      <c r="D22" s="70" t="s">
        <v>130</v>
      </c>
      <c r="E22" s="70" t="s">
        <v>131</v>
      </c>
      <c r="F22" s="64" t="s">
        <v>386</v>
      </c>
      <c r="G22" s="64" t="s">
        <v>395</v>
      </c>
      <c r="H22" s="71"/>
      <c r="I22" s="67" t="s">
        <v>393</v>
      </c>
      <c r="J22" s="64" t="s">
        <v>63</v>
      </c>
      <c r="K22" s="64" t="s">
        <v>144</v>
      </c>
      <c r="L22" s="64" t="s">
        <v>145</v>
      </c>
      <c r="M22" s="64" t="s">
        <v>146</v>
      </c>
      <c r="N22" s="64" t="s">
        <v>138</v>
      </c>
      <c r="O22" s="64" t="s">
        <v>44</v>
      </c>
      <c r="P22" s="64" t="s">
        <v>44</v>
      </c>
      <c r="Q22" s="64" t="s">
        <v>55</v>
      </c>
      <c r="R22" s="64" t="s">
        <v>345</v>
      </c>
      <c r="S22" s="70" t="s">
        <v>39</v>
      </c>
      <c r="T22" s="68" t="s">
        <v>405</v>
      </c>
      <c r="U22" s="65" t="s">
        <v>349</v>
      </c>
      <c r="V22" s="65" t="s">
        <v>447</v>
      </c>
      <c r="X22" s="62" t="str">
        <f>" (select page_id from tapage where file_name='"&amp;C22&amp;"') "</f>
        <v xml:space="preserve"> (select page_id from tapage where file_name='workPmiList') </v>
      </c>
      <c r="Y22" s="63" t="s">
        <v>33</v>
      </c>
      <c r="Z22" s="62" t="str">
        <f>" insert into tapggrid(pggrid_id,page_id,grid_obj_id,description,height,file_name,site_type,version_info,cre_date,upd_date) values( sqapggrid_id.nextval,"&amp;X22&amp;",'"&amp;D22&amp;"', (select description from tapage where file_name = '"&amp;C22&amp;"') ,'"&amp;E22&amp;"','"&amp;C22&amp;"','"&amp;S22&amp;"','"&amp;T22&amp;"',to_char(sysdate,'yyyymmddhh24miss'),to_char(sysdate,'yyyymmddhh24miss'));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2" s="62" t="str">
        <f>" update tapggrid set height  = '"&amp;E22&amp;"', file_name  = '"&amp;C22&amp;"', site_type  = '"&amp;S22&amp;"', version_info  = '"&amp;T22&amp;"',  upd_date  = to_char(sysdate,'yyyymmddhh24miss') where page_id   = "&amp;X22&amp;" and grid_obj_id   = '"&amp;D22&amp;"'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2" s="63" t="s">
        <v>33</v>
      </c>
      <c r="AC22" s="62" t="str">
        <f>" insert into tapggrid(pggrid_id,page_id,grid_obj_id,description,height,file_name,site_type,version_info,cre_date,upd_date) values( next value for sqapggrid_id,"&amp;X22&amp;",'"&amp;D22&amp;"', (select description from tapage where file_name = '"&amp;C22&amp;"') ,'"&amp;E22&amp;"','"&amp;C22&amp;"','"&amp;S22&amp;"','"&amp;T22&amp;"',CONVERT(CHAR(8),GETDATE(),112)+REPLACE(CONVERT(CHAR(8),GETDATE(),108),':',''),CONVERT(CHAR(8),GETDATE(),112)+REPLACE(CONVERT(CHAR(8),GETDATE(),108),':',''));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2" s="62" t="str">
        <f xml:space="preserve"> "update tapggrid set height  = '"&amp;E22&amp;"', file_name  = '"&amp;C22&amp;"', site_type  = '"&amp;S22&amp;"', version_info  = '"&amp;T22&amp;"',  upd_date  = CONVERT(CHAR(8),GETDATE(),112)+REPLACE(CONVERT(CHAR(8),GETDATE(),108),':','') where page_id   = "&amp;X22&amp;" and grid_obj_id   = '"&amp;D22&amp;"'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2" s="63" t="s">
        <v>33</v>
      </c>
      <c r="AF22" s="62" t="str">
        <f>" (select pggrid_id from tapggrid where page_id = "&amp;X22&amp;"  and grid_obj_id = '"&amp;D22&amp;"' )"</f>
        <v xml:space="preserve"> (select pggrid_id from tapggrid where page_id =  (select page_id from tapage where file_name='workPmiList')   and grid_obj_id = 'gridbox' )</v>
      </c>
      <c r="AG22" s="62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2" s="62" t="str">
        <f>AG22&amp;",display_yn)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2" s="63" t="s">
        <v>33</v>
      </c>
      <c r="AJ22" s="62" t="str">
        <f>AH22&amp;" values( sqapggridcol_id.nextval ,"&amp;AF22&amp;",'"&amp;F22&amp;"','"&amp;I22&amp;"','"&amp;R22&amp;"','"&amp;J22&amp;"','"&amp;K22&amp;"','"&amp;L22&amp;"','"&amp;M22&amp;"','"&amp;N22&amp;"','"&amp;Q22&amp;"','"&amp;O22&amp;"','"&amp;G22&amp;"','"&amp;C22&amp;"','"&amp;D22&amp;"','"&amp;U22&amp;"','"&amp;V22&amp;"','"&amp;S22&amp;"','"&amp;T22&amp;"','"&amp;Q22&amp;"','"&amp;R22&amp;"',to_char(sysdate,'yyyymmddhh24miss'),to_char(sysdate,'yyyymmddhh24miss'),'"&amp;P22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),'UPDDATE','310','updateDate','150','ro','left','str','false','LABEL','N','수정시간','workPmiList','gridbox','TAPMINSLIST','UPD_DATE','DREAM','3.00','LABEL','updateDate',to_char(sysdate,'yyyymmddhh24miss'),to_char(sysdate,'yyyymmddhh24miss'),'N' ); </v>
      </c>
      <c r="AK22" s="62" t="str">
        <f>" update tapggridcol set ord_no ='"&amp;I22&amp;"' , key_type = '"&amp;Q22&amp;"', key_no ='"&amp;R22&amp;"' , site_type ='"&amp;S22&amp;"', version_info ='"&amp;T22&amp;"' , basic_key_type ='"&amp;Q22&amp;"' , basic_key_no ='"&amp;R22&amp;"', width='"&amp;J22&amp;"' ,type='"&amp;K22&amp;"' ,align='"&amp;L22&amp;"' ,sort='"&amp;M22&amp;"' ,hidden='"&amp;N22&amp;"' ,system_col='"&amp;O22&amp;"' ,display_yn='"&amp;P22&amp;"' ,description='"&amp;G22&amp;"' ,file_name='"&amp;C22&amp;"' ,grid_obj_id='"&amp;D22&amp;"' ,table_name='"&amp;U22&amp;"' ,column_name='"&amp;V22&amp;"' , upd_date =to_char(sysdate,'yyyymmddhh24miss')  where pggrid_id ="&amp;AF22&amp;" and column_id = '"&amp;F22&amp;"' ; "</f>
        <v xml:space="preserve"> update tapggridcol set ord_no ='310' , key_type = 'LABEL', key_no ='updateDate' , site_type ='DREAM', version_info ='3.00' , basic_key_type ='LABEL' , basic_key_no ='updateDate', width='150' ,type='ro' ,align='left' ,sort='str' ,hidden='false' ,system_col='N' ,display_yn='N' ,description='수정시간' ,file_name='workPmiList' ,grid_obj_id='gridbox' ,table_name='TAPMINSLIST' ,column_name='UPD_DATE' , upd_date =to_char(sysdate,'yyyymmddhh24miss')  where pggrid_id = (select pggrid_id from tapggrid where page_id =  (select page_id from tapage where file_name='workPmiList')   and grid_obj_id = 'gridbox' ) and column_id = 'UPDDATE' ; </v>
      </c>
      <c r="AL22" s="63" t="s">
        <v>33</v>
      </c>
      <c r="AM22" s="62" t="str">
        <f>AH22&amp;" values( next value for sqapggridcol_id ,"&amp;AF22&amp;",'"&amp;F22&amp;"','"&amp;I22&amp;"','"&amp;R22&amp;"','"&amp;J22&amp;"','"&amp;K22&amp;"','"&amp;L22&amp;"','"&amp;M22&amp;"','"&amp;N22&amp;"','"&amp;Q22&amp;"','"&amp;O22&amp;"','"&amp;G22&amp;"','"&amp;C22&amp;"','"&amp;D22&amp;"','"&amp;U22&amp;"','"&amp;V22&amp;"','"&amp;S22&amp;"','"&amp;T22&amp;"','"&amp;Q22&amp;"','"&amp;R22&amp;"',CONVERT(CHAR(8),GETDATE(),112)+REPLACE(CONVERT(CHAR(8),GETDATE(),108),':',''),CONVERT(CHAR(8),GETDATE(),112)+REPLACE(CONVERT(CHAR(8),GETDATE(),108),':','') ,'"&amp;P22&amp;"'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UPDDATE','310','updateDate','150','ro','left','str','false','LABEL','N','수정시간','workPmiList','gridbox','TAPMINSLIST','UPD_DATE','DREAM','3.00','LABEL','updateDate',CONVERT(CHAR(8),GETDATE(),112)+REPLACE(CONVERT(CHAR(8),GETDATE(),108),':',''),CONVERT(CHAR(8),GETDATE(),112)+REPLACE(CONVERT(CHAR(8),GETDATE(),108),':','') ,'N' ); </v>
      </c>
      <c r="AN22" s="62" t="str">
        <f>" update tapggridcol set ord_no ='"&amp;I22&amp;"' , key_type = '"&amp;Q22&amp;"', key_no ='"&amp;R22&amp;"' , site_type ='"&amp;S22&amp;"', version_info ='"&amp;T22&amp;"' , basic_key_type ='"&amp;Q22&amp;"' , basic_key_no ='"&amp;R22&amp;"', width='"&amp;J22&amp;"' ,type='"&amp;K22&amp;"' ,align='"&amp;L22&amp;"' ,sort='"&amp;M22&amp;"' ,hidden='"&amp;N22&amp;"' ,system_col='"&amp;O22&amp;"',display_yn='"&amp;P22&amp;"'  ,description='"&amp;G22&amp;"' ,file_name='"&amp;C22&amp;"' ,grid_obj_id='"&amp;D22&amp;"' ,table_name='"&amp;U22&amp;"' ,column_name='"&amp;V22&amp;"' , upd_date =CONVERT(CHAR(8),GETDATE(),112)+REPLACE(CONVERT(CHAR(8),GETDATE(),108),':','')  where pggrid_id ="&amp;AF22&amp;" and column_id = '"&amp;F22&amp;"' ; "</f>
        <v xml:space="preserve"> update tapggridcol set ord_no ='310' , key_type = 'LABEL', key_no ='updateDate' , site_type ='DREAM', version_info ='3.00' , basic_key_type ='LABEL' , basic_key_no ='updateDate', width='150' ,type='ro' ,align='left' ,sort='str' ,hidden='false' ,system_col='N',display_yn='N'  ,description='수정시간' ,file_name='workPmiList' ,grid_obj_id='gridbox' ,table_name='TAPMINSLIST' ,column_name='UPD_DATE' , upd_date =CONVERT(CHAR(8),GETDATE(),112)+REPLACE(CONVERT(CHAR(8),GETDATE(),108),':','')  where pggrid_id = (select pggrid_id from tapggrid where page_id =  (select page_id from tapage where file_name='workPmiList')   and grid_obj_id = 'gridbox' ) and column_id = 'UPDDATE' ; </v>
      </c>
      <c r="AO22" s="63" t="s">
        <v>33</v>
      </c>
      <c r="AP22" s="62" t="str">
        <f>" insert into tapggrid(pggrid_id,page_id,grid_obj_id,description,height,file_name,site_type,version_info,cre_date,upd_date) values( sqapggrid_id.nextval,"&amp;X22&amp;",'"&amp;D22&amp;"', (select description from tapage where file_name = '"&amp;C22&amp;"') ,'"&amp;E22&amp;"','"&amp;C22&amp;"','"&amp;S22&amp;"','"&amp;T22&amp;"',to_char(sysdate,'yyyymmddhh24miss'),to_char(sysdate,'yyyymmddhh24miss'));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2" s="62" t="str">
        <f>AH22&amp;" values( sqapggridcol_id.nextval ,"&amp;AF22&amp;",'"&amp;F22&amp;"','"&amp;I22&amp;"','"&amp;R22&amp;"','"&amp;J22&amp;"','"&amp;K22&amp;"','"&amp;L22&amp;"','"&amp;M22&amp;"','true','"&amp;Q22&amp;"','"&amp;O22&amp;"','"&amp;G22&amp;"','"&amp;C22&amp;"','"&amp;D22&amp;"','"&amp;U22&amp;"','"&amp;V22&amp;"','"&amp;S22&amp;"','"&amp;T22&amp;"','"&amp;Q22&amp;"','"&amp;R22&amp;"',to_char(sysdate,'yyyymmddhh24miss'),to_char(sysdate,'yyyymmddhh24miss')  ,'"&amp;P22&amp;"'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),'UPDDATE','310','updateDate','150','ro','left','str','true','LABEL','N','수정시간','workPmiList','gridbox','TAPMINSLIST','UPD_DATE','DREAM','3.00','LABEL','updateDate',to_char(sysdate,'yyyymmddhh24miss'),to_char(sysdate,'yyyymmddhh24miss')  ,'N' ); </v>
      </c>
      <c r="AR22" s="62" t="str">
        <f>" insert into tapggrid(pggrid_id,page_id,grid_obj_id,description,height,file_name,site_type,version_info,cre_date,upd_date) values( next value for sqapggrid_id,"&amp;X22&amp;",'"&amp;D22&amp;"', (select description from tapage where file_name = '"&amp;C22&amp;"') ,'"&amp;E22&amp;"','"&amp;C22&amp;"','"&amp;S22&amp;"','"&amp;T22&amp;"',CONVERT(CHAR(8),GETDATE(),112)+REPLACE(CONVERT(CHAR(8),GETDATE(),108),':',''),CONVERT(CHAR(8),GETDATE(),112)+REPLACE(CONVERT(CHAR(8),GETDATE(),108),':',''));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2" s="62" t="str">
        <f>AH22&amp;" values( next value for sqapggridcol_id ,"&amp;AF22&amp;",'"&amp;F22&amp;"','"&amp;I22&amp;"','"&amp;R22&amp;"','"&amp;J22&amp;"','"&amp;K22&amp;"','"&amp;L22&amp;"','"&amp;M22&amp;"','true','"&amp;Q22&amp;"','"&amp;O22&amp;"','"&amp;G22&amp;"','"&amp;C22&amp;"','"&amp;D22&amp;"','"&amp;U22&amp;"','"&amp;V22&amp;"','"&amp;S22&amp;"','"&amp;T22&amp;"','"&amp;Q22&amp;"','"&amp;R22&amp;"',CONVERT(CHAR(8),GETDATE(),112)+REPLACE(CONVERT(CHAR(8),GETDATE(),108),':',''),CONVERT(CHAR(8),GETDATE(),112)+REPLACE(CONVERT(CHAR(8),GETDATE(),108),':','')  ,'"&amp;P22&amp;"'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UPDDATE','310','updateDate','150','ro','left','str','true','LABEL','N','수정시간','workPmiList','gridbox','TAPMINSLIST','UPD_DATE','DREAM','3.00','LABEL','updateDate',CONVERT(CHAR(8),GETDATE(),112)+REPLACE(CONVERT(CHAR(8),GETDATE(),108),':',''),CONVERT(CHAR(8),GETDATE(),112)+REPLACE(CONVERT(CHAR(8),GETDATE(),108),':','')  ,'N' ); </v>
      </c>
      <c r="AT22" s="63" t="s">
        <v>33</v>
      </c>
      <c r="AU22" s="62" t="str">
        <f>" insert into tapggrid(pggrid_id,page_id,grid_obj_id,description,height,file_name,site_type,version_info,cre_date,upd_date) values( sqapggrid_id.nextval,"&amp;X22&amp;",'"&amp;D22&amp;"', (select description from tapage where file_name = '"&amp;C22&amp;"') ,'"&amp;E22&amp;"','"&amp;C22&amp;"','"&amp;S22&amp;"','"&amp;T22&amp;"',to_char(sysdate,'yyyymmddhh24miss'),to_char(sysdate,'yyyymmddhh24miss'));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2" s="62" t="str">
        <f>AH22&amp;" values( sqapggridcol_id.nextval ,"&amp;AF22&amp;",'"&amp;F22&amp;"','"&amp;I22&amp;"','"&amp;R22&amp;"','"&amp;J22&amp;"','"&amp;K22&amp;"','"&amp;L22&amp;"','"&amp;M22&amp;"','false','"&amp;Q22&amp;"','"&amp;O22&amp;"','"&amp;G22&amp;"','"&amp;C22&amp;"','"&amp;D22&amp;"','"&amp;U22&amp;"','"&amp;V22&amp;"','"&amp;S22&amp;"','"&amp;T22&amp;"','"&amp;Q22&amp;"','"&amp;R22&amp;"',to_char(sysdate,'yyyymmddhh24miss'),to_char(sysdate,'yyyymmddhh24miss') ,'"&amp;P22&amp;"'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),'UPDDATE','310','updateDate','150','ro','left','str','false','LABEL','N','수정시간','workPmiList','gridbox','TAPMINSLIST','UPD_DATE','DREAM','3.00','LABEL','updateDate',to_char(sysdate,'yyyymmddhh24miss'),to_char(sysdate,'yyyymmddhh24miss') ,'N'  ); </v>
      </c>
      <c r="AW22" s="62" t="str">
        <f>" insert into tapggrid(pggrid_id,page_id,grid_obj_id,description,height,file_name,site_type,version_info,cre_date,upd_date) values( next value for sqapggrid_id,"&amp;X22&amp;",'"&amp;D22&amp;"', (select description from tapage where file_name = '"&amp;C22&amp;"') ,'"&amp;E22&amp;"','"&amp;C22&amp;"','"&amp;S22&amp;"','"&amp;T22&amp;"',CONVERT(CHAR(8),GETDATE(),112)+REPLACE(CONVERT(CHAR(8),GETDATE(),108),':',''),CONVERT(CHAR(8),GETDATE(),112)+REPLACE(CONVERT(CHAR(8),GETDATE(),108),':',''));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2" s="62" t="str">
        <f>AH22&amp;" values( next value for sqapggridcol_id ,"&amp;AF22&amp;",'"&amp;F22&amp;"','"&amp;I22&amp;"','"&amp;R22&amp;"','"&amp;J22&amp;"','"&amp;K22&amp;"','"&amp;L22&amp;"','"&amp;M22&amp;"','false','"&amp;Q22&amp;"','"&amp;O22&amp;"','"&amp;G22&amp;"','"&amp;C22&amp;"','"&amp;D22&amp;"','"&amp;U22&amp;"','"&amp;V22&amp;"','"&amp;S22&amp;"','"&amp;T22&amp;"','"&amp;Q22&amp;"','"&amp;R22&amp;"',CONVERT(CHAR(8),GETDATE(),112)+REPLACE(CONVERT(CHAR(8),GETDATE(),108),':',''),CONVERT(CHAR(8),GETDATE(),112)+REPLACE(CONVERT(CHAR(8),GETDATE(),108),':','')  ,'"&amp;P22&amp;"'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UPDDATE','310','updateDate','150','ro','left','str','false','LABEL','N','수정시간','workPmiList','gridbox','TAPMINSLIST','UPD_DATE','DREAM','3.00','LABEL','updateDate',CONVERT(CHAR(8),GETDATE(),112)+REPLACE(CONVERT(CHAR(8),GETDATE(),108),':',''),CONVERT(CHAR(8),GETDATE(),112)+REPLACE(CONVERT(CHAR(8),GETDATE(),108),':','')  ,'N' ); </v>
      </c>
    </row>
    <row r="23" spans="1:50" s="61" customFormat="1" x14ac:dyDescent="0.3">
      <c r="A23" s="64">
        <v>22</v>
      </c>
      <c r="B23" s="69" t="s">
        <v>36</v>
      </c>
      <c r="C23" s="70" t="s">
        <v>42</v>
      </c>
      <c r="D23" s="70" t="s">
        <v>130</v>
      </c>
      <c r="E23" s="70" t="s">
        <v>131</v>
      </c>
      <c r="F23" s="64" t="s">
        <v>387</v>
      </c>
      <c r="G23" s="64" t="s">
        <v>396</v>
      </c>
      <c r="H23" s="71"/>
      <c r="I23" s="67" t="s">
        <v>415</v>
      </c>
      <c r="J23" s="64" t="s">
        <v>50</v>
      </c>
      <c r="K23" s="64" t="s">
        <v>144</v>
      </c>
      <c r="L23" s="64" t="s">
        <v>145</v>
      </c>
      <c r="M23" s="64" t="s">
        <v>146</v>
      </c>
      <c r="N23" s="64" t="s">
        <v>138</v>
      </c>
      <c r="O23" s="64" t="s">
        <v>44</v>
      </c>
      <c r="P23" s="64" t="s">
        <v>44</v>
      </c>
      <c r="Q23" s="64" t="s">
        <v>55</v>
      </c>
      <c r="R23" s="64" t="s">
        <v>346</v>
      </c>
      <c r="S23" s="70" t="s">
        <v>39</v>
      </c>
      <c r="T23" s="68" t="s">
        <v>405</v>
      </c>
      <c r="U23" s="65" t="s">
        <v>448</v>
      </c>
      <c r="V23" s="65" t="s">
        <v>449</v>
      </c>
      <c r="X23" s="62" t="str">
        <f>" (select page_id from tapage where file_name='"&amp;C23&amp;"') "</f>
        <v xml:space="preserve"> (select page_id from tapage where file_name='workPmiList') </v>
      </c>
      <c r="Y23" s="63" t="s">
        <v>33</v>
      </c>
      <c r="Z23" s="62" t="str">
        <f>" insert into tapggrid(pggrid_id,page_id,grid_obj_id,description,height,file_name,site_type,version_info,cre_date,upd_date) values( sqapggrid_id.nextval,"&amp;X23&amp;",'"&amp;D23&amp;"', (select description from tapage where file_name = '"&amp;C23&amp;"') ,'"&amp;E23&amp;"','"&amp;C23&amp;"','"&amp;S23&amp;"','"&amp;T23&amp;"',to_char(sysdate,'yyyymmddhh24miss'),to_char(sysdate,'yyyymmddhh24miss'));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3" s="62" t="str">
        <f>" update tapggrid set height  = '"&amp;E23&amp;"', file_name  = '"&amp;C23&amp;"', site_type  = '"&amp;S23&amp;"', version_info  = '"&amp;T23&amp;"',  upd_date  = to_char(sysdate,'yyyymmddhh24miss') where page_id   = "&amp;X23&amp;" and grid_obj_id   = '"&amp;D23&amp;"'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3" s="63" t="s">
        <v>33</v>
      </c>
      <c r="AC23" s="62" t="str">
        <f>" insert into tapggrid(pggrid_id,page_id,grid_obj_id,description,height,file_name,site_type,version_info,cre_date,upd_date) values( next value for sqapggrid_id,"&amp;X23&amp;",'"&amp;D23&amp;"', (select description from tapage where file_name = '"&amp;C23&amp;"') ,'"&amp;E23&amp;"','"&amp;C23&amp;"','"&amp;S23&amp;"','"&amp;T23&amp;"',CONVERT(CHAR(8),GETDATE(),112)+REPLACE(CONVERT(CHAR(8),GETDATE(),108),':',''),CONVERT(CHAR(8),GETDATE(),112)+REPLACE(CONVERT(CHAR(8),GETDATE(),108),':',''));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3" s="62" t="str">
        <f xml:space="preserve"> "update tapggrid set height  = '"&amp;E23&amp;"', file_name  = '"&amp;C23&amp;"', site_type  = '"&amp;S23&amp;"', version_info  = '"&amp;T23&amp;"',  upd_date  = CONVERT(CHAR(8),GETDATE(),112)+REPLACE(CONVERT(CHAR(8),GETDATE(),108),':','') where page_id   = "&amp;X23&amp;" and grid_obj_id   = '"&amp;D23&amp;"'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3" s="63" t="s">
        <v>33</v>
      </c>
      <c r="AF23" s="62" t="str">
        <f>" (select pggrid_id from tapggrid where page_id = "&amp;X23&amp;"  and grid_obj_id = '"&amp;D23&amp;"' )"</f>
        <v xml:space="preserve"> (select pggrid_id from tapggrid where page_id =  (select page_id from tapage where file_name='workPmiList')   and grid_obj_id = 'gridbox' )</v>
      </c>
      <c r="AG23" s="62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3" s="62" t="str">
        <f>AG23&amp;",display_yn)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3" s="63" t="s">
        <v>33</v>
      </c>
      <c r="AJ23" s="62" t="str">
        <f>AH23&amp;" values( sqapggridcol_id.nextval ,"&amp;AF23&amp;",'"&amp;F23&amp;"','"&amp;I23&amp;"','"&amp;R23&amp;"','"&amp;J23&amp;"','"&amp;K23&amp;"','"&amp;L23&amp;"','"&amp;M23&amp;"','"&amp;N23&amp;"','"&amp;Q23&amp;"','"&amp;O23&amp;"','"&amp;G23&amp;"','"&amp;C23&amp;"','"&amp;D23&amp;"','"&amp;U23&amp;"','"&amp;V23&amp;"','"&amp;S23&amp;"','"&amp;T23&amp;"','"&amp;Q23&amp;"','"&amp;R23&amp;"',to_char(sysdate,'yyyymmddhh24miss'),to_char(sysdate,'yyyymmddhh24miss'),'"&amp;P23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),'UPDBY','320','modifyBy','100','ro','left','str','false','LABEL','N','수정자','workPmiList','gridbox','TAUSER','USER_NAME','DREAM','3.00','LABEL','modifyBy',to_char(sysdate,'yyyymmddhh24miss'),to_char(sysdate,'yyyymmddhh24miss'),'N' ); </v>
      </c>
      <c r="AK23" s="62" t="str">
        <f>" update tapggridcol set ord_no ='"&amp;I23&amp;"' , key_type = '"&amp;Q23&amp;"', key_no ='"&amp;R23&amp;"' , site_type ='"&amp;S23&amp;"', version_info ='"&amp;T23&amp;"' , basic_key_type ='"&amp;Q23&amp;"' , basic_key_no ='"&amp;R23&amp;"', width='"&amp;J23&amp;"' ,type='"&amp;K23&amp;"' ,align='"&amp;L23&amp;"' ,sort='"&amp;M23&amp;"' ,hidden='"&amp;N23&amp;"' ,system_col='"&amp;O23&amp;"' ,display_yn='"&amp;P23&amp;"' ,description='"&amp;G23&amp;"' ,file_name='"&amp;C23&amp;"' ,grid_obj_id='"&amp;D23&amp;"' ,table_name='"&amp;U23&amp;"' ,column_name='"&amp;V23&amp;"' , upd_date =to_char(sysdate,'yyyymmddhh24miss')  where pggrid_id ="&amp;AF23&amp;" and column_id = '"&amp;F23&amp;"' ; "</f>
        <v xml:space="preserve"> update tapggridcol set ord_no ='320' , key_type = 'LABEL', key_no ='modifyBy' , site_type ='DREAM', version_info ='3.00' , basic_key_type ='LABEL' , basic_key_no ='modifyBy', width='100' ,type='ro' ,align='left' ,sort='str' ,hidden='false' ,system_col='N' ,display_yn='N' ,description='수정자' ,file_name='workPmiList' ,grid_obj_id='gridbox' ,table_name='TAUSER' ,column_name='USER_NAME' , upd_date =to_char(sysdate,'yyyymmddhh24miss')  where pggrid_id = (select pggrid_id from tapggrid where page_id =  (select page_id from tapage where file_name='workPmiList')   and grid_obj_id = 'gridbox' ) and column_id = 'UPDBY' ; </v>
      </c>
      <c r="AL23" s="63" t="s">
        <v>33</v>
      </c>
      <c r="AM23" s="62" t="str">
        <f>AH23&amp;" values( next value for sqapggridcol_id ,"&amp;AF23&amp;",'"&amp;F23&amp;"','"&amp;I23&amp;"','"&amp;R23&amp;"','"&amp;J23&amp;"','"&amp;K23&amp;"','"&amp;L23&amp;"','"&amp;M23&amp;"','"&amp;N23&amp;"','"&amp;Q23&amp;"','"&amp;O23&amp;"','"&amp;G23&amp;"','"&amp;C23&amp;"','"&amp;D23&amp;"','"&amp;U23&amp;"','"&amp;V23&amp;"','"&amp;S23&amp;"','"&amp;T23&amp;"','"&amp;Q23&amp;"','"&amp;R23&amp;"',CONVERT(CHAR(8),GETDATE(),112)+REPLACE(CONVERT(CHAR(8),GETDATE(),108),':',''),CONVERT(CHAR(8),GETDATE(),112)+REPLACE(CONVERT(CHAR(8),GETDATE(),108),':','') ,'"&amp;P23&amp;"'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UPDBY','320','modifyBy','100','ro','left','str','false','LABEL','N','수정자','workPmiList','gridbox','TAUSER','USER_NAME','DREAM','3.00','LABEL','modifyBy',CONVERT(CHAR(8),GETDATE(),112)+REPLACE(CONVERT(CHAR(8),GETDATE(),108),':',''),CONVERT(CHAR(8),GETDATE(),112)+REPLACE(CONVERT(CHAR(8),GETDATE(),108),':','') ,'N' ); </v>
      </c>
      <c r="AN23" s="62" t="str">
        <f>" update tapggridcol set ord_no ='"&amp;I23&amp;"' , key_type = '"&amp;Q23&amp;"', key_no ='"&amp;R23&amp;"' , site_type ='"&amp;S23&amp;"', version_info ='"&amp;T23&amp;"' , basic_key_type ='"&amp;Q23&amp;"' , basic_key_no ='"&amp;R23&amp;"', width='"&amp;J23&amp;"' ,type='"&amp;K23&amp;"' ,align='"&amp;L23&amp;"' ,sort='"&amp;M23&amp;"' ,hidden='"&amp;N23&amp;"' ,system_col='"&amp;O23&amp;"',display_yn='"&amp;P23&amp;"'  ,description='"&amp;G23&amp;"' ,file_name='"&amp;C23&amp;"' ,grid_obj_id='"&amp;D23&amp;"' ,table_name='"&amp;U23&amp;"' ,column_name='"&amp;V23&amp;"' , upd_date =CONVERT(CHAR(8),GETDATE(),112)+REPLACE(CONVERT(CHAR(8),GETDATE(),108),':','')  where pggrid_id ="&amp;AF23&amp;" and column_id = '"&amp;F23&amp;"' ; "</f>
        <v xml:space="preserve"> update tapggridcol set ord_no ='320' , key_type = 'LABEL', key_no ='modifyBy' , site_type ='DREAM', version_info ='3.00' , basic_key_type ='LABEL' , basic_key_no ='modifyBy', width='100' ,type='ro' ,align='left' ,sort='str' ,hidden='false' ,system_col='N',display_yn='N'  ,description='수정자' ,file_name='workPmiList' ,grid_obj_id='gridbox' ,table_name='TAUSER' ,column_name='USER_NAME' , upd_date =CONVERT(CHAR(8),GETDATE(),112)+REPLACE(CONVERT(CHAR(8),GETDATE(),108),':','')  where pggrid_id = (select pggrid_id from tapggrid where page_id =  (select page_id from tapage where file_name='workPmiList')   and grid_obj_id = 'gridbox' ) and column_id = 'UPDBY' ; </v>
      </c>
      <c r="AO23" s="63" t="s">
        <v>33</v>
      </c>
      <c r="AP23" s="62" t="str">
        <f>" insert into tapggrid(pggrid_id,page_id,grid_obj_id,description,height,file_name,site_type,version_info,cre_date,upd_date) values( sqapggrid_id.nextval,"&amp;X23&amp;",'"&amp;D23&amp;"', (select description from tapage where file_name = '"&amp;C23&amp;"') ,'"&amp;E23&amp;"','"&amp;C23&amp;"','"&amp;S23&amp;"','"&amp;T23&amp;"',to_char(sysdate,'yyyymmddhh24miss'),to_char(sysdate,'yyyymmddhh24miss'));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3" s="62" t="str">
        <f>AH23&amp;" values( sqapggridcol_id.nextval ,"&amp;AF23&amp;",'"&amp;F23&amp;"','"&amp;I23&amp;"','"&amp;R23&amp;"','"&amp;J23&amp;"','"&amp;K23&amp;"','"&amp;L23&amp;"','"&amp;M23&amp;"','true','"&amp;Q23&amp;"','"&amp;O23&amp;"','"&amp;G23&amp;"','"&amp;C23&amp;"','"&amp;D23&amp;"','"&amp;U23&amp;"','"&amp;V23&amp;"','"&amp;S23&amp;"','"&amp;T23&amp;"','"&amp;Q23&amp;"','"&amp;R23&amp;"',to_char(sysdate,'yyyymmddhh24miss'),to_char(sysdate,'yyyymmddhh24miss')  ,'"&amp;P23&amp;"'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),'UPDBY','320','modifyBy','100','ro','left','str','true','LABEL','N','수정자','workPmiList','gridbox','TAUSER','USER_NAME','DREAM','3.00','LABEL','modifyBy',to_char(sysdate,'yyyymmddhh24miss'),to_char(sysdate,'yyyymmddhh24miss')  ,'N' ); </v>
      </c>
      <c r="AR23" s="62" t="str">
        <f>" insert into tapggrid(pggrid_id,page_id,grid_obj_id,description,height,file_name,site_type,version_info,cre_date,upd_date) values( next value for sqapggrid_id,"&amp;X23&amp;",'"&amp;D23&amp;"', (select description from tapage where file_name = '"&amp;C23&amp;"') ,'"&amp;E23&amp;"','"&amp;C23&amp;"','"&amp;S23&amp;"','"&amp;T23&amp;"',CONVERT(CHAR(8),GETDATE(),112)+REPLACE(CONVERT(CHAR(8),GETDATE(),108),':',''),CONVERT(CHAR(8),GETDATE(),112)+REPLACE(CONVERT(CHAR(8),GETDATE(),108),':',''));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3" s="62" t="str">
        <f>AH23&amp;" values( next value for sqapggridcol_id ,"&amp;AF23&amp;",'"&amp;F23&amp;"','"&amp;I23&amp;"','"&amp;R23&amp;"','"&amp;J23&amp;"','"&amp;K23&amp;"','"&amp;L23&amp;"','"&amp;M23&amp;"','true','"&amp;Q23&amp;"','"&amp;O23&amp;"','"&amp;G23&amp;"','"&amp;C23&amp;"','"&amp;D23&amp;"','"&amp;U23&amp;"','"&amp;V23&amp;"','"&amp;S23&amp;"','"&amp;T23&amp;"','"&amp;Q23&amp;"','"&amp;R23&amp;"',CONVERT(CHAR(8),GETDATE(),112)+REPLACE(CONVERT(CHAR(8),GETDATE(),108),':',''),CONVERT(CHAR(8),GETDATE(),112)+REPLACE(CONVERT(CHAR(8),GETDATE(),108),':','')  ,'"&amp;P23&amp;"'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UPDBY','320','modifyBy','100','ro','left','str','true','LABEL','N','수정자','workPmiList','gridbox','TAUSER','USER_NAME','DREAM','3.00','LABEL','modifyBy',CONVERT(CHAR(8),GETDATE(),112)+REPLACE(CONVERT(CHAR(8),GETDATE(),108),':',''),CONVERT(CHAR(8),GETDATE(),112)+REPLACE(CONVERT(CHAR(8),GETDATE(),108),':','')  ,'N' ); </v>
      </c>
      <c r="AT23" s="63" t="s">
        <v>33</v>
      </c>
      <c r="AU23" s="62" t="str">
        <f>" insert into tapggrid(pggrid_id,page_id,grid_obj_id,description,height,file_name,site_type,version_info,cre_date,upd_date) values( sqapggrid_id.nextval,"&amp;X23&amp;",'"&amp;D23&amp;"', (select description from tapage where file_name = '"&amp;C23&amp;"') ,'"&amp;E23&amp;"','"&amp;C23&amp;"','"&amp;S23&amp;"','"&amp;T23&amp;"',to_char(sysdate,'yyyymmddhh24miss'),to_char(sysdate,'yyyymmddhh24miss'));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3" s="62" t="str">
        <f>AH23&amp;" values( sqapggridcol_id.nextval ,"&amp;AF23&amp;",'"&amp;F23&amp;"','"&amp;I23&amp;"','"&amp;R23&amp;"','"&amp;J23&amp;"','"&amp;K23&amp;"','"&amp;L23&amp;"','"&amp;M23&amp;"','false','"&amp;Q23&amp;"','"&amp;O23&amp;"','"&amp;G23&amp;"','"&amp;C23&amp;"','"&amp;D23&amp;"','"&amp;U23&amp;"','"&amp;V23&amp;"','"&amp;S23&amp;"','"&amp;T23&amp;"','"&amp;Q23&amp;"','"&amp;R23&amp;"',to_char(sysdate,'yyyymmddhh24miss'),to_char(sysdate,'yyyymmddhh24miss') ,'"&amp;P23&amp;"'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),'UPDBY','320','modifyBy','100','ro','left','str','false','LABEL','N','수정자','workPmiList','gridbox','TAUSER','USER_NAME','DREAM','3.00','LABEL','modifyBy',to_char(sysdate,'yyyymmddhh24miss'),to_char(sysdate,'yyyymmddhh24miss') ,'N'  ); </v>
      </c>
      <c r="AW23" s="62" t="str">
        <f>" insert into tapggrid(pggrid_id,page_id,grid_obj_id,description,height,file_name,site_type,version_info,cre_date,upd_date) values( next value for sqapggrid_id,"&amp;X23&amp;",'"&amp;D23&amp;"', (select description from tapage where file_name = '"&amp;C23&amp;"') ,'"&amp;E23&amp;"','"&amp;C23&amp;"','"&amp;S23&amp;"','"&amp;T23&amp;"',CONVERT(CHAR(8),GETDATE(),112)+REPLACE(CONVERT(CHAR(8),GETDATE(),108),':',''),CONVERT(CHAR(8),GETDATE(),112)+REPLACE(CONVERT(CHAR(8),GETDATE(),108),':',''));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3" s="62" t="str">
        <f>AH23&amp;" values( next value for sqapggridcol_id ,"&amp;AF23&amp;",'"&amp;F23&amp;"','"&amp;I23&amp;"','"&amp;R23&amp;"','"&amp;J23&amp;"','"&amp;K23&amp;"','"&amp;L23&amp;"','"&amp;M23&amp;"','false','"&amp;Q23&amp;"','"&amp;O23&amp;"','"&amp;G23&amp;"','"&amp;C23&amp;"','"&amp;D23&amp;"','"&amp;U23&amp;"','"&amp;V23&amp;"','"&amp;S23&amp;"','"&amp;T23&amp;"','"&amp;Q23&amp;"','"&amp;R23&amp;"',CONVERT(CHAR(8),GETDATE(),112)+REPLACE(CONVERT(CHAR(8),GETDATE(),108),':',''),CONVERT(CHAR(8),GETDATE(),112)+REPLACE(CONVERT(CHAR(8),GETDATE(),108),':','')  ,'"&amp;P23&amp;"'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UPDBY','320','modifyBy','100','ro','left','str','false','LABEL','N','수정자','workPmiList','gridbox','TAUSER','USER_NAME','DREAM','3.00','LABEL','modifyBy',CONVERT(CHAR(8),GETDATE(),112)+REPLACE(CONVERT(CHAR(8),GETDATE(),108),':',''),CONVERT(CHAR(8),GETDATE(),112)+REPLACE(CONVERT(CHAR(8),GETDATE(),108),':','')  ,'N' ); </v>
      </c>
    </row>
    <row r="24" spans="1:50" s="61" customFormat="1" x14ac:dyDescent="0.3">
      <c r="A24" s="64">
        <v>23</v>
      </c>
      <c r="B24" s="69" t="s">
        <v>36</v>
      </c>
      <c r="C24" s="70" t="s">
        <v>42</v>
      </c>
      <c r="D24" s="70" t="s">
        <v>130</v>
      </c>
      <c r="E24" s="70" t="s">
        <v>131</v>
      </c>
      <c r="F24" s="64" t="s">
        <v>388</v>
      </c>
      <c r="G24" s="64" t="s">
        <v>397</v>
      </c>
      <c r="H24" s="71"/>
      <c r="I24" s="67" t="s">
        <v>416</v>
      </c>
      <c r="J24" s="64" t="s">
        <v>63</v>
      </c>
      <c r="K24" s="64" t="s">
        <v>144</v>
      </c>
      <c r="L24" s="64" t="s">
        <v>145</v>
      </c>
      <c r="M24" s="64" t="s">
        <v>146</v>
      </c>
      <c r="N24" s="64" t="s">
        <v>138</v>
      </c>
      <c r="O24" s="64" t="s">
        <v>44</v>
      </c>
      <c r="P24" s="64" t="s">
        <v>44</v>
      </c>
      <c r="Q24" s="64" t="s">
        <v>55</v>
      </c>
      <c r="R24" s="64" t="s">
        <v>347</v>
      </c>
      <c r="S24" s="70" t="s">
        <v>39</v>
      </c>
      <c r="T24" s="68" t="s">
        <v>405</v>
      </c>
      <c r="U24" s="65" t="s">
        <v>349</v>
      </c>
      <c r="V24" s="65" t="s">
        <v>450</v>
      </c>
      <c r="X24" s="62" t="str">
        <f>" (select page_id from tapage where file_name='"&amp;C24&amp;"') "</f>
        <v xml:space="preserve"> (select page_id from tapage where file_name='workPmiList') </v>
      </c>
      <c r="Y24" s="63" t="s">
        <v>33</v>
      </c>
      <c r="Z24" s="62" t="str">
        <f>" insert into tapggrid(pggrid_id,page_id,grid_obj_id,description,height,file_name,site_type,version_info,cre_date,upd_date) values( sqapggrid_id.nextval,"&amp;X24&amp;",'"&amp;D24&amp;"', (select description from tapage where file_name = '"&amp;C24&amp;"') ,'"&amp;E24&amp;"','"&amp;C24&amp;"','"&amp;S24&amp;"','"&amp;T24&amp;"',to_char(sysdate,'yyyymmddhh24miss'),to_char(sysdate,'yyyymmddhh24miss'));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4" s="62" t="str">
        <f>" update tapggrid set height  = '"&amp;E24&amp;"', file_name  = '"&amp;C24&amp;"', site_type  = '"&amp;S24&amp;"', version_info  = '"&amp;T24&amp;"',  upd_date  = to_char(sysdate,'yyyymmddhh24miss') where page_id   = "&amp;X24&amp;" and grid_obj_id   = '"&amp;D24&amp;"'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4" s="63" t="s">
        <v>33</v>
      </c>
      <c r="AC24" s="62" t="str">
        <f>" insert into tapggrid(pggrid_id,page_id,grid_obj_id,description,height,file_name,site_type,version_info,cre_date,upd_date) values( next value for sqapggrid_id,"&amp;X24&amp;",'"&amp;D24&amp;"', (select description from tapage where file_name = '"&amp;C24&amp;"') ,'"&amp;E24&amp;"','"&amp;C24&amp;"','"&amp;S24&amp;"','"&amp;T24&amp;"',CONVERT(CHAR(8),GETDATE(),112)+REPLACE(CONVERT(CHAR(8),GETDATE(),108),':',''),CONVERT(CHAR(8),GETDATE(),112)+REPLACE(CONVERT(CHAR(8),GETDATE(),108),':',''));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4" s="62" t="str">
        <f xml:space="preserve"> "update tapggrid set height  = '"&amp;E24&amp;"', file_name  = '"&amp;C24&amp;"', site_type  = '"&amp;S24&amp;"', version_info  = '"&amp;T24&amp;"',  upd_date  = CONVERT(CHAR(8),GETDATE(),112)+REPLACE(CONVERT(CHAR(8),GETDATE(),108),':','') where page_id   = "&amp;X24&amp;" and grid_obj_id   = '"&amp;D24&amp;"'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4" s="63" t="s">
        <v>33</v>
      </c>
      <c r="AF24" s="62" t="str">
        <f>" (select pggrid_id from tapggrid where page_id = "&amp;X24&amp;"  and grid_obj_id = '"&amp;D24&amp;"' )"</f>
        <v xml:space="preserve"> (select pggrid_id from tapggrid where page_id =  (select page_id from tapage where file_name='workPmiList')   and grid_obj_id = 'gridbox' )</v>
      </c>
      <c r="AG24" s="62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4" s="62" t="str">
        <f>AG24&amp;",display_yn)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4" s="63" t="s">
        <v>33</v>
      </c>
      <c r="AJ24" s="62" t="str">
        <f>AH24&amp;" values( sqapggridcol_id.nextval ,"&amp;AF24&amp;",'"&amp;F24&amp;"','"&amp;I24&amp;"','"&amp;R24&amp;"','"&amp;J24&amp;"','"&amp;K24&amp;"','"&amp;L24&amp;"','"&amp;M24&amp;"','"&amp;N24&amp;"','"&amp;Q24&amp;"','"&amp;O24&amp;"','"&amp;G24&amp;"','"&amp;C24&amp;"','"&amp;D24&amp;"','"&amp;U24&amp;"','"&amp;V24&amp;"','"&amp;S24&amp;"','"&amp;T24&amp;"','"&amp;Q24&amp;"','"&amp;R24&amp;"',to_char(sysdate,'yyyymmddhh24miss'),to_char(sysdate,'yyyymmddhh24miss'),'"&amp;P24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),'CREDATE','330','createDate','150','ro','left','str','false','LABEL','N','생성시간','workPmiList','gridbox','TAPMINSLIST','CRE_DATE','DREAM','3.00','LABEL','createDate',to_char(sysdate,'yyyymmddhh24miss'),to_char(sysdate,'yyyymmddhh24miss'),'N' ); </v>
      </c>
      <c r="AK24" s="62" t="str">
        <f>" update tapggridcol set ord_no ='"&amp;I24&amp;"' , key_type = '"&amp;Q24&amp;"', key_no ='"&amp;R24&amp;"' , site_type ='"&amp;S24&amp;"', version_info ='"&amp;T24&amp;"' , basic_key_type ='"&amp;Q24&amp;"' , basic_key_no ='"&amp;R24&amp;"', width='"&amp;J24&amp;"' ,type='"&amp;K24&amp;"' ,align='"&amp;L24&amp;"' ,sort='"&amp;M24&amp;"' ,hidden='"&amp;N24&amp;"' ,system_col='"&amp;O24&amp;"' ,display_yn='"&amp;P24&amp;"' ,description='"&amp;G24&amp;"' ,file_name='"&amp;C24&amp;"' ,grid_obj_id='"&amp;D24&amp;"' ,table_name='"&amp;U24&amp;"' ,column_name='"&amp;V24&amp;"' , upd_date =to_char(sysdate,'yyyymmddhh24miss')  where pggrid_id ="&amp;AF24&amp;" and column_id = '"&amp;F24&amp;"' ; "</f>
        <v xml:space="preserve"> update tapggridcol set ord_no ='330' , key_type = 'LABEL', key_no ='createDate' , site_type ='DREAM', version_info ='3.00' , basic_key_type ='LABEL' , basic_key_no ='createDate', width='150' ,type='ro' ,align='left' ,sort='str' ,hidden='false' ,system_col='N' ,display_yn='N' ,description='생성시간' ,file_name='workPmiList' ,grid_obj_id='gridbox' ,table_name='TAPMINSLIST' ,column_name='CRE_DATE' , upd_date =to_char(sysdate,'yyyymmddhh24miss')  where pggrid_id = (select pggrid_id from tapggrid where page_id =  (select page_id from tapage where file_name='workPmiList')   and grid_obj_id = 'gridbox' ) and column_id = 'CREDATE' ; </v>
      </c>
      <c r="AL24" s="63" t="s">
        <v>33</v>
      </c>
      <c r="AM24" s="62" t="str">
        <f>AH24&amp;" values( next value for sqapggridcol_id ,"&amp;AF24&amp;",'"&amp;F24&amp;"','"&amp;I24&amp;"','"&amp;R24&amp;"','"&amp;J24&amp;"','"&amp;K24&amp;"','"&amp;L24&amp;"','"&amp;M24&amp;"','"&amp;N24&amp;"','"&amp;Q24&amp;"','"&amp;O24&amp;"','"&amp;G24&amp;"','"&amp;C24&amp;"','"&amp;D24&amp;"','"&amp;U24&amp;"','"&amp;V24&amp;"','"&amp;S24&amp;"','"&amp;T24&amp;"','"&amp;Q24&amp;"','"&amp;R24&amp;"',CONVERT(CHAR(8),GETDATE(),112)+REPLACE(CONVERT(CHAR(8),GETDATE(),108),':',''),CONVERT(CHAR(8),GETDATE(),112)+REPLACE(CONVERT(CHAR(8),GETDATE(),108),':','') ,'"&amp;P24&amp;"'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CREDATE','330','createDate','150','ro','left','str','false','LABEL','N','생성시간','workPmiList','gridbox','TAPMINSLIST','CRE_DATE','DREAM','3.00','LABEL','createDate',CONVERT(CHAR(8),GETDATE(),112)+REPLACE(CONVERT(CHAR(8),GETDATE(),108),':',''),CONVERT(CHAR(8),GETDATE(),112)+REPLACE(CONVERT(CHAR(8),GETDATE(),108),':','') ,'N' ); </v>
      </c>
      <c r="AN24" s="62" t="str">
        <f>" update tapggridcol set ord_no ='"&amp;I24&amp;"' , key_type = '"&amp;Q24&amp;"', key_no ='"&amp;R24&amp;"' , site_type ='"&amp;S24&amp;"', version_info ='"&amp;T24&amp;"' , basic_key_type ='"&amp;Q24&amp;"' , basic_key_no ='"&amp;R24&amp;"', width='"&amp;J24&amp;"' ,type='"&amp;K24&amp;"' ,align='"&amp;L24&amp;"' ,sort='"&amp;M24&amp;"' ,hidden='"&amp;N24&amp;"' ,system_col='"&amp;O24&amp;"',display_yn='"&amp;P24&amp;"'  ,description='"&amp;G24&amp;"' ,file_name='"&amp;C24&amp;"' ,grid_obj_id='"&amp;D24&amp;"' ,table_name='"&amp;U24&amp;"' ,column_name='"&amp;V24&amp;"' , upd_date =CONVERT(CHAR(8),GETDATE(),112)+REPLACE(CONVERT(CHAR(8),GETDATE(),108),':','')  where pggrid_id ="&amp;AF24&amp;" and column_id = '"&amp;F24&amp;"' ; "</f>
        <v xml:space="preserve"> update tapggridcol set ord_no ='330' , key_type = 'LABEL', key_no ='createDate' , site_type ='DREAM', version_info ='3.00' , basic_key_type ='LABEL' , basic_key_no ='createDate', width='150' ,type='ro' ,align='left' ,sort='str' ,hidden='false' ,system_col='N',display_yn='N'  ,description='생성시간' ,file_name='workPmiList' ,grid_obj_id='gridbox' ,table_name='TAPMINSLIST' ,column_name='CRE_DATE' , upd_date =CONVERT(CHAR(8),GETDATE(),112)+REPLACE(CONVERT(CHAR(8),GETDATE(),108),':','')  where pggrid_id = (select pggrid_id from tapggrid where page_id =  (select page_id from tapage where file_name='workPmiList')   and grid_obj_id = 'gridbox' ) and column_id = 'CREDATE' ; </v>
      </c>
      <c r="AO24" s="63" t="s">
        <v>33</v>
      </c>
      <c r="AP24" s="62" t="str">
        <f>" insert into tapggrid(pggrid_id,page_id,grid_obj_id,description,height,file_name,site_type,version_info,cre_date,upd_date) values( sqapggrid_id.nextval,"&amp;X24&amp;",'"&amp;D24&amp;"', (select description from tapage where file_name = '"&amp;C24&amp;"') ,'"&amp;E24&amp;"','"&amp;C24&amp;"','"&amp;S24&amp;"','"&amp;T24&amp;"',to_char(sysdate,'yyyymmddhh24miss'),to_char(sysdate,'yyyymmddhh24miss'));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4" s="62" t="str">
        <f>AH24&amp;" values( sqapggridcol_id.nextval ,"&amp;AF24&amp;",'"&amp;F24&amp;"','"&amp;I24&amp;"','"&amp;R24&amp;"','"&amp;J24&amp;"','"&amp;K24&amp;"','"&amp;L24&amp;"','"&amp;M24&amp;"','true','"&amp;Q24&amp;"','"&amp;O24&amp;"','"&amp;G24&amp;"','"&amp;C24&amp;"','"&amp;D24&amp;"','"&amp;U24&amp;"','"&amp;V24&amp;"','"&amp;S24&amp;"','"&amp;T24&amp;"','"&amp;Q24&amp;"','"&amp;R24&amp;"',to_char(sysdate,'yyyymmddhh24miss'),to_char(sysdate,'yyyymmddhh24miss')  ,'"&amp;P24&amp;"'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),'CREDATE','330','createDate','150','ro','left','str','true','LABEL','N','생성시간','workPmiList','gridbox','TAPMINSLIST','CRE_DATE','DREAM','3.00','LABEL','createDate',to_char(sysdate,'yyyymmddhh24miss'),to_char(sysdate,'yyyymmddhh24miss')  ,'N' ); </v>
      </c>
      <c r="AR24" s="62" t="str">
        <f>" insert into tapggrid(pggrid_id,page_id,grid_obj_id,description,height,file_name,site_type,version_info,cre_date,upd_date) values( next value for sqapggrid_id,"&amp;X24&amp;",'"&amp;D24&amp;"', (select description from tapage where file_name = '"&amp;C24&amp;"') ,'"&amp;E24&amp;"','"&amp;C24&amp;"','"&amp;S24&amp;"','"&amp;T24&amp;"',CONVERT(CHAR(8),GETDATE(),112)+REPLACE(CONVERT(CHAR(8),GETDATE(),108),':',''),CONVERT(CHAR(8),GETDATE(),112)+REPLACE(CONVERT(CHAR(8),GETDATE(),108),':',''));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4" s="62" t="str">
        <f>AH24&amp;" values( next value for sqapggridcol_id ,"&amp;AF24&amp;",'"&amp;F24&amp;"','"&amp;I24&amp;"','"&amp;R24&amp;"','"&amp;J24&amp;"','"&amp;K24&amp;"','"&amp;L24&amp;"','"&amp;M24&amp;"','true','"&amp;Q24&amp;"','"&amp;O24&amp;"','"&amp;G24&amp;"','"&amp;C24&amp;"','"&amp;D24&amp;"','"&amp;U24&amp;"','"&amp;V24&amp;"','"&amp;S24&amp;"','"&amp;T24&amp;"','"&amp;Q24&amp;"','"&amp;R24&amp;"',CONVERT(CHAR(8),GETDATE(),112)+REPLACE(CONVERT(CHAR(8),GETDATE(),108),':',''),CONVERT(CHAR(8),GETDATE(),112)+REPLACE(CONVERT(CHAR(8),GETDATE(),108),':','')  ,'"&amp;P24&amp;"'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CREDATE','330','createDate','150','ro','left','str','true','LABEL','N','생성시간','workPmiList','gridbox','TAPMINSLIST','CRE_DATE','DREAM','3.00','LABEL','createDate',CONVERT(CHAR(8),GETDATE(),112)+REPLACE(CONVERT(CHAR(8),GETDATE(),108),':',''),CONVERT(CHAR(8),GETDATE(),112)+REPLACE(CONVERT(CHAR(8),GETDATE(),108),':','')  ,'N' ); </v>
      </c>
      <c r="AT24" s="63" t="s">
        <v>33</v>
      </c>
      <c r="AU24" s="62" t="str">
        <f>" insert into tapggrid(pggrid_id,page_id,grid_obj_id,description,height,file_name,site_type,version_info,cre_date,upd_date) values( sqapggrid_id.nextval,"&amp;X24&amp;",'"&amp;D24&amp;"', (select description from tapage where file_name = '"&amp;C24&amp;"') ,'"&amp;E24&amp;"','"&amp;C24&amp;"','"&amp;S24&amp;"','"&amp;T24&amp;"',to_char(sysdate,'yyyymmddhh24miss'),to_char(sysdate,'yyyymmddhh24miss'));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4" s="62" t="str">
        <f>AH24&amp;" values( sqapggridcol_id.nextval ,"&amp;AF24&amp;",'"&amp;F24&amp;"','"&amp;I24&amp;"','"&amp;R24&amp;"','"&amp;J24&amp;"','"&amp;K24&amp;"','"&amp;L24&amp;"','"&amp;M24&amp;"','false','"&amp;Q24&amp;"','"&amp;O24&amp;"','"&amp;G24&amp;"','"&amp;C24&amp;"','"&amp;D24&amp;"','"&amp;U24&amp;"','"&amp;V24&amp;"','"&amp;S24&amp;"','"&amp;T24&amp;"','"&amp;Q24&amp;"','"&amp;R24&amp;"',to_char(sysdate,'yyyymmddhh24miss'),to_char(sysdate,'yyyymmddhh24miss') ,'"&amp;P24&amp;"'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),'CREDATE','330','createDate','150','ro','left','str','false','LABEL','N','생성시간','workPmiList','gridbox','TAPMINSLIST','CRE_DATE','DREAM','3.00','LABEL','createDate',to_char(sysdate,'yyyymmddhh24miss'),to_char(sysdate,'yyyymmddhh24miss') ,'N'  ); </v>
      </c>
      <c r="AW24" s="62" t="str">
        <f>" insert into tapggrid(pggrid_id,page_id,grid_obj_id,description,height,file_name,site_type,version_info,cre_date,upd_date) values( next value for sqapggrid_id,"&amp;X24&amp;",'"&amp;D24&amp;"', (select description from tapage where file_name = '"&amp;C24&amp;"') ,'"&amp;E24&amp;"','"&amp;C24&amp;"','"&amp;S24&amp;"','"&amp;T24&amp;"',CONVERT(CHAR(8),GETDATE(),112)+REPLACE(CONVERT(CHAR(8),GETDATE(),108),':',''),CONVERT(CHAR(8),GETDATE(),112)+REPLACE(CONVERT(CHAR(8),GETDATE(),108),':',''));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4" s="62" t="str">
        <f>AH24&amp;" values( next value for sqapggridcol_id ,"&amp;AF24&amp;",'"&amp;F24&amp;"','"&amp;I24&amp;"','"&amp;R24&amp;"','"&amp;J24&amp;"','"&amp;K24&amp;"','"&amp;L24&amp;"','"&amp;M24&amp;"','false','"&amp;Q24&amp;"','"&amp;O24&amp;"','"&amp;G24&amp;"','"&amp;C24&amp;"','"&amp;D24&amp;"','"&amp;U24&amp;"','"&amp;V24&amp;"','"&amp;S24&amp;"','"&amp;T24&amp;"','"&amp;Q24&amp;"','"&amp;R24&amp;"',CONVERT(CHAR(8),GETDATE(),112)+REPLACE(CONVERT(CHAR(8),GETDATE(),108),':',''),CONVERT(CHAR(8),GETDATE(),112)+REPLACE(CONVERT(CHAR(8),GETDATE(),108),':','')  ,'"&amp;P24&amp;"'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CREDATE','330','createDate','150','ro','left','str','false','LABEL','N','생성시간','workPmiList','gridbox','TAPMINSLIST','CRE_DATE','DREAM','3.00','LABEL','createDate',CONVERT(CHAR(8),GETDATE(),112)+REPLACE(CONVERT(CHAR(8),GETDATE(),108),':',''),CONVERT(CHAR(8),GETDATE(),112)+REPLACE(CONVERT(CHAR(8),GETDATE(),108),':','')  ,'N' ); </v>
      </c>
    </row>
    <row r="25" spans="1:50" x14ac:dyDescent="0.3">
      <c r="A25" s="64">
        <v>24</v>
      </c>
      <c r="B25" s="66" t="s">
        <v>36</v>
      </c>
      <c r="C25" s="67" t="s">
        <v>344</v>
      </c>
      <c r="D25" s="67" t="s">
        <v>130</v>
      </c>
      <c r="E25" s="67" t="s">
        <v>131</v>
      </c>
      <c r="F25" s="64" t="s">
        <v>389</v>
      </c>
      <c r="G25" s="64" t="s">
        <v>398</v>
      </c>
      <c r="H25" s="64"/>
      <c r="I25" s="67" t="s">
        <v>417</v>
      </c>
      <c r="J25" s="64" t="s">
        <v>50</v>
      </c>
      <c r="K25" s="64" t="s">
        <v>144</v>
      </c>
      <c r="L25" s="64" t="s">
        <v>145</v>
      </c>
      <c r="M25" s="64" t="s">
        <v>146</v>
      </c>
      <c r="N25" s="64" t="s">
        <v>138</v>
      </c>
      <c r="O25" s="64" t="s">
        <v>44</v>
      </c>
      <c r="P25" s="64" t="s">
        <v>44</v>
      </c>
      <c r="Q25" s="64" t="s">
        <v>55</v>
      </c>
      <c r="R25" s="64" t="s">
        <v>348</v>
      </c>
      <c r="S25" s="67" t="s">
        <v>39</v>
      </c>
      <c r="T25" s="68" t="s">
        <v>405</v>
      </c>
      <c r="U25" s="65" t="s">
        <v>448</v>
      </c>
      <c r="V25" s="65" t="s">
        <v>449</v>
      </c>
      <c r="X25" s="11" t="str">
        <f>" (select page_id from tapage where file_name='"&amp;C25&amp;"') "</f>
        <v xml:space="preserve"> (select page_id from tapage where file_name='workPmiList') </v>
      </c>
      <c r="Y25" s="1" t="s">
        <v>33</v>
      </c>
      <c r="Z25" s="11" t="str">
        <f>" insert into tapggrid(pggrid_id,page_id,grid_obj_id,description,height,file_name,site_type,version_info,cre_date,upd_date) values( sqapggrid_id.nextval,"&amp;X25&amp;",'"&amp;D25&amp;"', (select description from tapage where file_name = '"&amp;C25&amp;"') ,'"&amp;E25&amp;"','"&amp;C25&amp;"','"&amp;S25&amp;"','"&amp;T25&amp;"',to_char(sysdate,'yyyymmddhh24miss'),to_char(sysdate,'yyyymmddhh24miss'));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5" s="11" t="str">
        <f>" update tapggrid set height  = '"&amp;E25&amp;"', file_name  = '"&amp;C25&amp;"', site_type  = '"&amp;S25&amp;"', version_info  = '"&amp;T25&amp;"',  upd_date  = to_char(sysdate,'yyyymmddhh24miss') where page_id   = "&amp;X25&amp;" and grid_obj_id   = '"&amp;D25&amp;"'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5" s="1" t="s">
        <v>33</v>
      </c>
      <c r="AC25" s="11" t="str">
        <f>" insert into tapggrid(pggrid_id,page_id,grid_obj_id,description,height,file_name,site_type,version_info,cre_date,upd_date) values( next value for sqapggrid_id,"&amp;X25&amp;",'"&amp;D25&amp;"', (select description from tapage where file_name = '"&amp;C25&amp;"') ,'"&amp;E25&amp;"','"&amp;C25&amp;"','"&amp;S25&amp;"','"&amp;T25&amp;"',CONVERT(CHAR(8),GETDATE(),112)+REPLACE(CONVERT(CHAR(8),GETDATE(),108),':',''),CONVERT(CHAR(8),GETDATE(),112)+REPLACE(CONVERT(CHAR(8),GETDATE(),108),':',''));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5" s="11" t="str">
        <f xml:space="preserve"> "update tapggrid set height  = '"&amp;E25&amp;"', file_name  = '"&amp;C25&amp;"', site_type  = '"&amp;S25&amp;"', version_info  = '"&amp;T25&amp;"',  upd_date  = CONVERT(CHAR(8),GETDATE(),112)+REPLACE(CONVERT(CHAR(8),GETDATE(),108),':','') where page_id   = "&amp;X25&amp;" and grid_obj_id   = '"&amp;D25&amp;"'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5" s="1" t="s">
        <v>33</v>
      </c>
      <c r="AF25" s="11" t="str">
        <f>" (select pggrid_id from tapggrid where page_id = "&amp;X25&amp;"  and grid_obj_id = '"&amp;D25&amp;"' )"</f>
        <v xml:space="preserve"> (select pggrid_id from tapggrid where page_id =  (select page_id from tapage where file_name='workPmiList')   and grid_obj_id = 'gridbox' )</v>
      </c>
      <c r="AG25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5" s="11" t="str">
        <f>AG25&amp;",display_yn)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5" s="1" t="s">
        <v>33</v>
      </c>
      <c r="AJ25" s="11" t="str">
        <f>AH25&amp;" values( sqapggridcol_id.nextval ,"&amp;AF25&amp;",'"&amp;F25&amp;"','"&amp;I25&amp;"','"&amp;R25&amp;"','"&amp;J25&amp;"','"&amp;K25&amp;"','"&amp;L25&amp;"','"&amp;M25&amp;"','"&amp;N25&amp;"','"&amp;Q25&amp;"','"&amp;O25&amp;"','"&amp;G25&amp;"','"&amp;C25&amp;"','"&amp;D25&amp;"','"&amp;U25&amp;"','"&amp;V25&amp;"','"&amp;S25&amp;"','"&amp;T25&amp;"','"&amp;Q25&amp;"','"&amp;R25&amp;"',to_char(sysdate,'yyyymmddhh24miss'),to_char(sysdate,'yyyymmddhh24miss'),'"&amp;P25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),'CREBY','340','creBy','100','ro','left','str','false','LABEL','N','생성자','workPmiList','gridbox','TAUSER','USER_NAME','DREAM','3.00','LABEL','creBy',to_char(sysdate,'yyyymmddhh24miss'),to_char(sysdate,'yyyymmddhh24miss'),'N' ); </v>
      </c>
      <c r="AK25" s="11" t="str">
        <f>" update tapggridcol set ord_no ='"&amp;I25&amp;"' , key_type = '"&amp;Q25&amp;"', key_no ='"&amp;R25&amp;"' , site_type ='"&amp;S25&amp;"', version_info ='"&amp;T25&amp;"' , basic_key_type ='"&amp;Q25&amp;"' , basic_key_no ='"&amp;R25&amp;"', width='"&amp;J25&amp;"' ,type='"&amp;K25&amp;"' ,align='"&amp;L25&amp;"' ,sort='"&amp;M25&amp;"' ,hidden='"&amp;N25&amp;"' ,system_col='"&amp;O25&amp;"' ,display_yn='"&amp;P25&amp;"' ,description='"&amp;G25&amp;"' ,file_name='"&amp;C25&amp;"' ,grid_obj_id='"&amp;D25&amp;"' ,table_name='"&amp;U25&amp;"' ,column_name='"&amp;V25&amp;"' , upd_date =to_char(sysdate,'yyyymmddhh24miss')  where pggrid_id ="&amp;AF25&amp;" and column_id = '"&amp;F25&amp;"' ; "</f>
        <v xml:space="preserve"> update tapggridcol set ord_no ='340' , key_type = 'LABEL', key_no ='creBy' , site_type ='DREAM', version_info ='3.00' , basic_key_type ='LABEL' , basic_key_no ='creBy', width='100' ,type='ro' ,align='left' ,sort='str' ,hidden='false' ,system_col='N' ,display_yn='N' ,description='생성자' ,file_name='workPmiList' ,grid_obj_id='gridbox' ,table_name='TAUSER' ,column_name='USER_NAME' , upd_date =to_char(sysdate,'yyyymmddhh24miss')  where pggrid_id = (select pggrid_id from tapggrid where page_id =  (select page_id from tapage where file_name='workPmiList')   and grid_obj_id = 'gridbox' ) and column_id = 'CREBY' ; </v>
      </c>
      <c r="AL25" s="1" t="s">
        <v>33</v>
      </c>
      <c r="AM25" s="11" t="str">
        <f>AH25&amp;" values( next value for sqapggridcol_id ,"&amp;AF25&amp;",'"&amp;F25&amp;"','"&amp;I25&amp;"','"&amp;R25&amp;"','"&amp;J25&amp;"','"&amp;K25&amp;"','"&amp;L25&amp;"','"&amp;M25&amp;"','"&amp;N25&amp;"','"&amp;Q25&amp;"','"&amp;O25&amp;"','"&amp;G25&amp;"','"&amp;C25&amp;"','"&amp;D25&amp;"','"&amp;U25&amp;"','"&amp;V25&amp;"','"&amp;S25&amp;"','"&amp;T25&amp;"','"&amp;Q25&amp;"','"&amp;R25&amp;"',CONVERT(CHAR(8),GETDATE(),112)+REPLACE(CONVERT(CHAR(8),GETDATE(),108),':',''),CONVERT(CHAR(8),GETDATE(),112)+REPLACE(CONVERT(CHAR(8),GETDATE(),108),':','') ,'"&amp;P25&amp;"'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CREBY','340','creBy','100','ro','left','str','false','LABEL','N','생성자','workPmiList','gridbox','TAUSER','USER_NAME','DREAM','3.00','LABEL','creBy',CONVERT(CHAR(8),GETDATE(),112)+REPLACE(CONVERT(CHAR(8),GETDATE(),108),':',''),CONVERT(CHAR(8),GETDATE(),112)+REPLACE(CONVERT(CHAR(8),GETDATE(),108),':','') ,'N' ); </v>
      </c>
      <c r="AN25" s="11" t="str">
        <f>" update tapggridcol set ord_no ='"&amp;I25&amp;"' , key_type = '"&amp;Q25&amp;"', key_no ='"&amp;R25&amp;"' , site_type ='"&amp;S25&amp;"', version_info ='"&amp;T25&amp;"' , basic_key_type ='"&amp;Q25&amp;"' , basic_key_no ='"&amp;R25&amp;"', width='"&amp;J25&amp;"' ,type='"&amp;K25&amp;"' ,align='"&amp;L25&amp;"' ,sort='"&amp;M25&amp;"' ,hidden='"&amp;N25&amp;"' ,system_col='"&amp;O25&amp;"',display_yn='"&amp;P25&amp;"'  ,description='"&amp;G25&amp;"' ,file_name='"&amp;C25&amp;"' ,grid_obj_id='"&amp;D25&amp;"' ,table_name='"&amp;U25&amp;"' ,column_name='"&amp;V25&amp;"' , upd_date =CONVERT(CHAR(8),GETDATE(),112)+REPLACE(CONVERT(CHAR(8),GETDATE(),108),':','')  where pggrid_id ="&amp;AF25&amp;" and column_id = '"&amp;F25&amp;"' ; "</f>
        <v xml:space="preserve"> update tapggridcol set ord_no ='340' , key_type = 'LABEL', key_no ='creBy' , site_type ='DREAM', version_info ='3.00' , basic_key_type ='LABEL' , basic_key_no ='creBy', width='100' ,type='ro' ,align='left' ,sort='str' ,hidden='false' ,system_col='N',display_yn='N'  ,description='생성자' ,file_name='workPmiList' ,grid_obj_id='gridbox' ,table_name='TAUSER' ,column_name='USER_NAME' , upd_date =CONVERT(CHAR(8),GETDATE(),112)+REPLACE(CONVERT(CHAR(8),GETDATE(),108),':','')  where pggrid_id = (select pggrid_id from tapggrid where page_id =  (select page_id from tapage where file_name='workPmiList')   and grid_obj_id = 'gridbox' ) and column_id = 'CREBY' ; </v>
      </c>
      <c r="AO25" s="1" t="s">
        <v>33</v>
      </c>
      <c r="AP25" s="11" t="str">
        <f>" insert into tapggrid(pggrid_id,page_id,grid_obj_id,description,height,file_name,site_type,version_info,cre_date,upd_date) values( sqapggrid_id.nextval,"&amp;X25&amp;",'"&amp;D25&amp;"', (select description from tapage where file_name = '"&amp;C25&amp;"') ,'"&amp;E25&amp;"','"&amp;C25&amp;"','"&amp;S25&amp;"','"&amp;T25&amp;"',to_char(sysdate,'yyyymmddhh24miss'),to_char(sysdate,'yyyymmddhh24miss'));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5" s="11" t="str">
        <f>AH25&amp;" values( sqapggridcol_id.nextval ,"&amp;AF25&amp;",'"&amp;F25&amp;"','"&amp;I25&amp;"','"&amp;R25&amp;"','"&amp;J25&amp;"','"&amp;K25&amp;"','"&amp;L25&amp;"','"&amp;M25&amp;"','true','"&amp;Q25&amp;"','"&amp;O25&amp;"','"&amp;G25&amp;"','"&amp;C25&amp;"','"&amp;D25&amp;"','"&amp;U25&amp;"','"&amp;V25&amp;"','"&amp;S25&amp;"','"&amp;T25&amp;"','"&amp;Q25&amp;"','"&amp;R25&amp;"',to_char(sysdate,'yyyymmddhh24miss'),to_char(sysdate,'yyyymmddhh24miss')  ,'"&amp;P25&amp;"'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),'CREBY','340','creBy','100','ro','left','str','true','LABEL','N','생성자','workPmiList','gridbox','TAUSER','USER_NAME','DREAM','3.00','LABEL','creBy',to_char(sysdate,'yyyymmddhh24miss'),to_char(sysdate,'yyyymmddhh24miss')  ,'N' ); </v>
      </c>
      <c r="AR25" s="11" t="str">
        <f>" insert into tapggrid(pggrid_id,page_id,grid_obj_id,description,height,file_name,site_type,version_info,cre_date,upd_date) values( next value for sqapggrid_id,"&amp;X25&amp;",'"&amp;D25&amp;"', (select description from tapage where file_name = '"&amp;C25&amp;"') ,'"&amp;E25&amp;"','"&amp;C25&amp;"','"&amp;S25&amp;"','"&amp;T25&amp;"',CONVERT(CHAR(8),GETDATE(),112)+REPLACE(CONVERT(CHAR(8),GETDATE(),108),':',''),CONVERT(CHAR(8),GETDATE(),112)+REPLACE(CONVERT(CHAR(8),GETDATE(),108),':',''));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5" s="11" t="str">
        <f>AH25&amp;" values( next value for sqapggridcol_id ,"&amp;AF25&amp;",'"&amp;F25&amp;"','"&amp;I25&amp;"','"&amp;R25&amp;"','"&amp;J25&amp;"','"&amp;K25&amp;"','"&amp;L25&amp;"','"&amp;M25&amp;"','true','"&amp;Q25&amp;"','"&amp;O25&amp;"','"&amp;G25&amp;"','"&amp;C25&amp;"','"&amp;D25&amp;"','"&amp;U25&amp;"','"&amp;V25&amp;"','"&amp;S25&amp;"','"&amp;T25&amp;"','"&amp;Q25&amp;"','"&amp;R25&amp;"',CONVERT(CHAR(8),GETDATE(),112)+REPLACE(CONVERT(CHAR(8),GETDATE(),108),':',''),CONVERT(CHAR(8),GETDATE(),112)+REPLACE(CONVERT(CHAR(8),GETDATE(),108),':','')  ,'"&amp;P25&amp;"'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CREBY','340','creBy','100','ro','left','str','true','LABEL','N','생성자','workPmiList','gridbox','TAUSER','USER_NAME','DREAM','3.00','LABEL','creBy',CONVERT(CHAR(8),GETDATE(),112)+REPLACE(CONVERT(CHAR(8),GETDATE(),108),':',''),CONVERT(CHAR(8),GETDATE(),112)+REPLACE(CONVERT(CHAR(8),GETDATE(),108),':','')  ,'N' ); </v>
      </c>
      <c r="AT25" s="1" t="s">
        <v>33</v>
      </c>
      <c r="AU25" s="11" t="str">
        <f>" insert into tapggrid(pggrid_id,page_id,grid_obj_id,description,height,file_name,site_type,version_info,cre_date,upd_date) values( sqapggrid_id.nextval,"&amp;X25&amp;",'"&amp;D25&amp;"', (select description from tapage where file_name = '"&amp;C25&amp;"') ,'"&amp;E25&amp;"','"&amp;C25&amp;"','"&amp;S25&amp;"','"&amp;T25&amp;"',to_char(sysdate,'yyyymmddhh24miss'),to_char(sysdate,'yyyymmddhh24miss'));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5" s="11" t="str">
        <f>AH25&amp;" values( sqapggridcol_id.nextval ,"&amp;AF25&amp;",'"&amp;F25&amp;"','"&amp;I25&amp;"','"&amp;R25&amp;"','"&amp;J25&amp;"','"&amp;K25&amp;"','"&amp;L25&amp;"','"&amp;M25&amp;"','false','"&amp;Q25&amp;"','"&amp;O25&amp;"','"&amp;G25&amp;"','"&amp;C25&amp;"','"&amp;D25&amp;"','"&amp;U25&amp;"','"&amp;V25&amp;"','"&amp;S25&amp;"','"&amp;T25&amp;"','"&amp;Q25&amp;"','"&amp;R25&amp;"',to_char(sysdate,'yyyymmddhh24miss'),to_char(sysdate,'yyyymmddhh24miss') ,'"&amp;P25&amp;"'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),'CREBY','340','creBy','100','ro','left','str','false','LABEL','N','생성자','workPmiList','gridbox','TAUSER','USER_NAME','DREAM','3.00','LABEL','creBy',to_char(sysdate,'yyyymmddhh24miss'),to_char(sysdate,'yyyymmddhh24miss') ,'N'  ); </v>
      </c>
      <c r="AW25" s="11" t="str">
        <f>" insert into tapggrid(pggrid_id,page_id,grid_obj_id,description,height,file_name,site_type,version_info,cre_date,upd_date) values( next value for sqapggrid_id,"&amp;X25&amp;",'"&amp;D25&amp;"', (select description from tapage where file_name = '"&amp;C25&amp;"') ,'"&amp;E25&amp;"','"&amp;C25&amp;"','"&amp;S25&amp;"','"&amp;T25&amp;"',CONVERT(CHAR(8),GETDATE(),112)+REPLACE(CONVERT(CHAR(8),GETDATE(),108),':',''),CONVERT(CHAR(8),GETDATE(),112)+REPLACE(CONVERT(CHAR(8),GETDATE(),108),':',''));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5" s="11" t="str">
        <f>AH25&amp;" values( next value for sqapggridcol_id ,"&amp;AF25&amp;",'"&amp;F25&amp;"','"&amp;I25&amp;"','"&amp;R25&amp;"','"&amp;J25&amp;"','"&amp;K25&amp;"','"&amp;L25&amp;"','"&amp;M25&amp;"','false','"&amp;Q25&amp;"','"&amp;O25&amp;"','"&amp;G25&amp;"','"&amp;C25&amp;"','"&amp;D25&amp;"','"&amp;U25&amp;"','"&amp;V25&amp;"','"&amp;S25&amp;"','"&amp;T25&amp;"','"&amp;Q25&amp;"','"&amp;R25&amp;"',CONVERT(CHAR(8),GETDATE(),112)+REPLACE(CONVERT(CHAR(8),GETDATE(),108),':',''),CONVERT(CHAR(8),GETDATE(),112)+REPLACE(CONVERT(CHAR(8),GETDATE(),108),':','')  ,'"&amp;P25&amp;"'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CREBY','340','creBy','100','ro','left','str','false','LABEL','N','생성자','workPmiList','gridbox','TAUSER','USER_NAME','DREAM','3.00','LABEL','creBy',CONVERT(CHAR(8),GETDATE(),112)+REPLACE(CONVERT(CHAR(8),GETDATE(),108),':',''),CONVERT(CHAR(8),GETDATE(),112)+REPLACE(CONVERT(CHAR(8),GETDATE(),108),':','')  ,'N' ); </v>
      </c>
    </row>
    <row r="26" spans="1:50" x14ac:dyDescent="0.3">
      <c r="A26" s="64">
        <v>25</v>
      </c>
      <c r="B26" s="66" t="s">
        <v>36</v>
      </c>
      <c r="C26" s="67" t="s">
        <v>42</v>
      </c>
      <c r="D26" s="67" t="s">
        <v>130</v>
      </c>
      <c r="E26" s="67" t="s">
        <v>131</v>
      </c>
      <c r="F26" s="64" t="s">
        <v>35</v>
      </c>
      <c r="G26" s="64" t="s">
        <v>86</v>
      </c>
      <c r="H26" s="64"/>
      <c r="I26" s="67" t="s">
        <v>400</v>
      </c>
      <c r="J26" s="64" t="s">
        <v>401</v>
      </c>
      <c r="K26" s="64" t="s">
        <v>144</v>
      </c>
      <c r="L26" s="64" t="s">
        <v>145</v>
      </c>
      <c r="M26" s="64" t="s">
        <v>146</v>
      </c>
      <c r="N26" s="64" t="s">
        <v>138</v>
      </c>
      <c r="O26" s="64" t="s">
        <v>44</v>
      </c>
      <c r="P26" s="64" t="s">
        <v>38</v>
      </c>
      <c r="Q26" s="64" t="s">
        <v>55</v>
      </c>
      <c r="R26" s="64" t="s">
        <v>88</v>
      </c>
      <c r="S26" s="67" t="s">
        <v>39</v>
      </c>
      <c r="T26" s="68" t="s">
        <v>405</v>
      </c>
      <c r="U26" s="65" t="s">
        <v>349</v>
      </c>
      <c r="V26" s="65" t="s">
        <v>35</v>
      </c>
      <c r="X26" s="11" t="str">
        <f>" (select page_id from tapage where file_name='"&amp;C26&amp;"') "</f>
        <v xml:space="preserve"> (select page_id from tapage where file_name='workPmiList') </v>
      </c>
      <c r="Y26" s="1" t="s">
        <v>33</v>
      </c>
      <c r="Z26" s="11" t="str">
        <f>" insert into tapggrid(pggrid_id,page_id,grid_obj_id,description,height,file_name,site_type,version_info,cre_date,upd_date) values( sqapggrid_id.nextval,"&amp;X26&amp;",'"&amp;D26&amp;"', (select description from tapage where file_name = '"&amp;C26&amp;"') ,'"&amp;E26&amp;"','"&amp;C26&amp;"','"&amp;S26&amp;"','"&amp;T26&amp;"',to_char(sysdate,'yyyymmddhh24miss'),to_char(sysdate,'yyyymmddhh24miss'));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6" s="11" t="str">
        <f>" update tapggrid set height  = '"&amp;E26&amp;"', file_name  = '"&amp;C26&amp;"', site_type  = '"&amp;S26&amp;"', version_info  = '"&amp;T26&amp;"',  upd_date  = to_char(sysdate,'yyyymmddhh24miss') where page_id   = "&amp;X26&amp;" and grid_obj_id   = '"&amp;D26&amp;"'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6" s="1" t="s">
        <v>33</v>
      </c>
      <c r="AC26" s="11" t="str">
        <f>" insert into tapggrid(pggrid_id,page_id,grid_obj_id,description,height,file_name,site_type,version_info,cre_date,upd_date) values( next value for sqapggrid_id,"&amp;X26&amp;",'"&amp;D26&amp;"', (select description from tapage where file_name = '"&amp;C26&amp;"') ,'"&amp;E26&amp;"','"&amp;C26&amp;"','"&amp;S26&amp;"','"&amp;T26&amp;"',CONVERT(CHAR(8),GETDATE(),112)+REPLACE(CONVERT(CHAR(8),GETDATE(),108),':',''),CONVERT(CHAR(8),GETDATE(),112)+REPLACE(CONVERT(CHAR(8),GETDATE(),108),':',''));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6" s="11" t="str">
        <f xml:space="preserve"> "update tapggrid set height  = '"&amp;E26&amp;"', file_name  = '"&amp;C26&amp;"', site_type  = '"&amp;S26&amp;"', version_info  = '"&amp;T26&amp;"',  upd_date  = CONVERT(CHAR(8),GETDATE(),112)+REPLACE(CONVERT(CHAR(8),GETDATE(),108),':','') where page_id   = "&amp;X26&amp;" and grid_obj_id   = '"&amp;D26&amp;"'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6" s="1" t="s">
        <v>33</v>
      </c>
      <c r="AF26" s="11" t="str">
        <f>" (select pggrid_id from tapggrid where page_id = "&amp;X26&amp;"  and grid_obj_id = '"&amp;D26&amp;"' )"</f>
        <v xml:space="preserve"> (select pggrid_id from tapggrid where page_id =  (select page_id from tapage where file_name='workPmiList')   and grid_obj_id = 'gridbox' )</v>
      </c>
      <c r="AG26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6" s="11" t="str">
        <f>AG26&amp;",display_yn)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6" s="1" t="s">
        <v>33</v>
      </c>
      <c r="AJ26" s="11" t="str">
        <f>AH26&amp;" values( sqapggridcol_id.nextval ,"&amp;AF26&amp;",'"&amp;F26&amp;"','"&amp;I26&amp;"','"&amp;R26&amp;"','"&amp;J26&amp;"','"&amp;K26&amp;"','"&amp;L26&amp;"','"&amp;M26&amp;"','"&amp;N26&amp;"','"&amp;Q26&amp;"','"&amp;O26&amp;"','"&amp;G26&amp;"','"&amp;C26&amp;"','"&amp;D26&amp;"','"&amp;U26&amp;"','"&amp;V26&amp;"','"&amp;S26&amp;"','"&amp;T26&amp;"','"&amp;Q26&amp;"','"&amp;R26&amp;"',to_char(sysdate,'yyyymmddhh24miss'),to_char(sysdate,'yyyymmddhh24miss'),'"&amp;P26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),'REMARK','350','remark','400','ro','left','str','false','LABEL','N','비고','workPmiList','gridbox','TAPMINSLIST','REMARK','DREAM','3.00','LABEL','remark',to_char(sysdate,'yyyymmddhh24miss'),to_char(sysdate,'yyyymmddhh24miss'),'Y' ); </v>
      </c>
      <c r="AK26" s="11" t="str">
        <f>" update tapggridcol set ord_no ='"&amp;I26&amp;"' , key_type = '"&amp;Q26&amp;"', key_no ='"&amp;R26&amp;"' , site_type ='"&amp;S26&amp;"', version_info ='"&amp;T26&amp;"' , basic_key_type ='"&amp;Q26&amp;"' , basic_key_no ='"&amp;R26&amp;"', width='"&amp;J26&amp;"' ,type='"&amp;K26&amp;"' ,align='"&amp;L26&amp;"' ,sort='"&amp;M26&amp;"' ,hidden='"&amp;N26&amp;"' ,system_col='"&amp;O26&amp;"' ,display_yn='"&amp;P26&amp;"' ,description='"&amp;G26&amp;"' ,file_name='"&amp;C26&amp;"' ,grid_obj_id='"&amp;D26&amp;"' ,table_name='"&amp;U26&amp;"' ,column_name='"&amp;V26&amp;"' , upd_date =to_char(sysdate,'yyyymmddhh24miss')  where pggrid_id ="&amp;AF26&amp;" and column_id = '"&amp;F26&amp;"' ; "</f>
        <v xml:space="preserve"> update tapggridcol set ord_no ='350' , key_type = 'LABEL', key_no ='remark' , site_type ='DREAM', version_info ='3.00' , basic_key_type ='LABEL' , basic_key_no ='remark', width='400' ,type='ro' ,align='left' ,sort='str' ,hidden='false' ,system_col='N' ,display_yn='Y' ,description='비고' ,file_name='workPmiList' ,grid_obj_id='gridbox' ,table_name='TAPMINSLIST' ,column_name='REMARK' , upd_date =to_char(sysdate,'yyyymmddhh24miss')  where pggrid_id = (select pggrid_id from tapggrid where page_id =  (select page_id from tapage where file_name='workPmiList')   and grid_obj_id = 'gridbox' ) and column_id = 'REMARK' ; </v>
      </c>
      <c r="AL26" s="1" t="s">
        <v>33</v>
      </c>
      <c r="AM26" s="11" t="str">
        <f>AH26&amp;" values( next value for sqapggridcol_id ,"&amp;AF26&amp;",'"&amp;F26&amp;"','"&amp;I26&amp;"','"&amp;R26&amp;"','"&amp;J26&amp;"','"&amp;K26&amp;"','"&amp;L26&amp;"','"&amp;M26&amp;"','"&amp;N26&amp;"','"&amp;Q26&amp;"','"&amp;O26&amp;"','"&amp;G26&amp;"','"&amp;C26&amp;"','"&amp;D26&amp;"','"&amp;U26&amp;"','"&amp;V26&amp;"','"&amp;S26&amp;"','"&amp;T26&amp;"','"&amp;Q26&amp;"','"&amp;R26&amp;"',CONVERT(CHAR(8),GETDATE(),112)+REPLACE(CONVERT(CHAR(8),GETDATE(),108),':',''),CONVERT(CHAR(8),GETDATE(),112)+REPLACE(CONVERT(CHAR(8),GETDATE(),108),':','') ,'"&amp;P26&amp;"'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REMARK','350','remark','400','ro','left','str','false','LABEL','N','비고','workPmiList','gridbox','TAPMINSLIST','REMARK','DREAM','3.00','LABEL','remark',CONVERT(CHAR(8),GETDATE(),112)+REPLACE(CONVERT(CHAR(8),GETDATE(),108),':',''),CONVERT(CHAR(8),GETDATE(),112)+REPLACE(CONVERT(CHAR(8),GETDATE(),108),':','') ,'Y' ); </v>
      </c>
      <c r="AN26" s="11" t="str">
        <f>" update tapggridcol set ord_no ='"&amp;I26&amp;"' , key_type = '"&amp;Q26&amp;"', key_no ='"&amp;R26&amp;"' , site_type ='"&amp;S26&amp;"', version_info ='"&amp;T26&amp;"' , basic_key_type ='"&amp;Q26&amp;"' , basic_key_no ='"&amp;R26&amp;"', width='"&amp;J26&amp;"' ,type='"&amp;K26&amp;"' ,align='"&amp;L26&amp;"' ,sort='"&amp;M26&amp;"' ,hidden='"&amp;N26&amp;"' ,system_col='"&amp;O26&amp;"',display_yn='"&amp;P26&amp;"'  ,description='"&amp;G26&amp;"' ,file_name='"&amp;C26&amp;"' ,grid_obj_id='"&amp;D26&amp;"' ,table_name='"&amp;U26&amp;"' ,column_name='"&amp;V26&amp;"' , upd_date =CONVERT(CHAR(8),GETDATE(),112)+REPLACE(CONVERT(CHAR(8),GETDATE(),108),':','')  where pggrid_id ="&amp;AF26&amp;" and column_id = '"&amp;F26&amp;"' ; "</f>
        <v xml:space="preserve"> update tapggridcol set ord_no ='350' , key_type = 'LABEL', key_no ='remark' , site_type ='DREAM', version_info ='3.00' , basic_key_type ='LABEL' , basic_key_no ='remark', width='400' ,type='ro' ,align='left' ,sort='str' ,hidden='false' ,system_col='N',display_yn='Y'  ,description='비고' ,file_name='workPmiList' ,grid_obj_id='gridbox' ,table_name='TAPMINSLIST' ,column_name='REMARK' , upd_date =CONVERT(CHAR(8),GETDATE(),112)+REPLACE(CONVERT(CHAR(8),GETDATE(),108),':','')  where pggrid_id = (select pggrid_id from tapggrid where page_id =  (select page_id from tapage where file_name='workPmiList')   and grid_obj_id = 'gridbox' ) and column_id = 'REMARK' ; </v>
      </c>
      <c r="AO26" s="1" t="s">
        <v>33</v>
      </c>
      <c r="AP26" s="11" t="str">
        <f>" insert into tapggrid(pggrid_id,page_id,grid_obj_id,description,height,file_name,site_type,version_info,cre_date,upd_date) values( sqapggrid_id.nextval,"&amp;X26&amp;",'"&amp;D26&amp;"', (select description from tapage where file_name = '"&amp;C26&amp;"') ,'"&amp;E26&amp;"','"&amp;C26&amp;"','"&amp;S26&amp;"','"&amp;T26&amp;"',to_char(sysdate,'yyyymmddhh24miss'),to_char(sysdate,'yyyymmddhh24miss'));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6" s="11" t="str">
        <f>AH26&amp;" values( sqapggridcol_id.nextval ,"&amp;AF26&amp;",'"&amp;F26&amp;"','"&amp;I26&amp;"','"&amp;R26&amp;"','"&amp;J26&amp;"','"&amp;K26&amp;"','"&amp;L26&amp;"','"&amp;M26&amp;"','true','"&amp;Q26&amp;"','"&amp;O26&amp;"','"&amp;G26&amp;"','"&amp;C26&amp;"','"&amp;D26&amp;"','"&amp;U26&amp;"','"&amp;V26&amp;"','"&amp;S26&amp;"','"&amp;T26&amp;"','"&amp;Q26&amp;"','"&amp;R26&amp;"',to_char(sysdate,'yyyymmddhh24miss'),to_char(sysdate,'yyyymmddhh24miss')  ,'"&amp;P26&amp;"'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),'REMARK','350','remark','400','ro','left','str','true','LABEL','N','비고','workPmiList','gridbox','TAPMINSLIST','REMARK','DREAM','3.00','LABEL','remark',to_char(sysdate,'yyyymmddhh24miss'),to_char(sysdate,'yyyymmddhh24miss')  ,'Y' ); </v>
      </c>
      <c r="AR26" s="11" t="str">
        <f>" insert into tapggrid(pggrid_id,page_id,grid_obj_id,description,height,file_name,site_type,version_info,cre_date,upd_date) values( next value for sqapggrid_id,"&amp;X26&amp;",'"&amp;D26&amp;"', (select description from tapage where file_name = '"&amp;C26&amp;"') ,'"&amp;E26&amp;"','"&amp;C26&amp;"','"&amp;S26&amp;"','"&amp;T26&amp;"',CONVERT(CHAR(8),GETDATE(),112)+REPLACE(CONVERT(CHAR(8),GETDATE(),108),':',''),CONVERT(CHAR(8),GETDATE(),112)+REPLACE(CONVERT(CHAR(8),GETDATE(),108),':',''));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6" s="11" t="str">
        <f>AH26&amp;" values( next value for sqapggridcol_id ,"&amp;AF26&amp;",'"&amp;F26&amp;"','"&amp;I26&amp;"','"&amp;R26&amp;"','"&amp;J26&amp;"','"&amp;K26&amp;"','"&amp;L26&amp;"','"&amp;M26&amp;"','true','"&amp;Q26&amp;"','"&amp;O26&amp;"','"&amp;G26&amp;"','"&amp;C26&amp;"','"&amp;D26&amp;"','"&amp;U26&amp;"','"&amp;V26&amp;"','"&amp;S26&amp;"','"&amp;T26&amp;"','"&amp;Q26&amp;"','"&amp;R26&amp;"',CONVERT(CHAR(8),GETDATE(),112)+REPLACE(CONVERT(CHAR(8),GETDATE(),108),':',''),CONVERT(CHAR(8),GETDATE(),112)+REPLACE(CONVERT(CHAR(8),GETDATE(),108),':','')  ,'"&amp;P26&amp;"'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REMARK','350','remark','400','ro','left','str','true','LABEL','N','비고','workPmiList','gridbox','TAPMINSLIST','REMARK','DREAM','3.00','LABEL','remark',CONVERT(CHAR(8),GETDATE(),112)+REPLACE(CONVERT(CHAR(8),GETDATE(),108),':',''),CONVERT(CHAR(8),GETDATE(),112)+REPLACE(CONVERT(CHAR(8),GETDATE(),108),':','')  ,'Y' ); </v>
      </c>
      <c r="AT26" s="1" t="s">
        <v>33</v>
      </c>
      <c r="AU26" s="11" t="str">
        <f>" insert into tapggrid(pggrid_id,page_id,grid_obj_id,description,height,file_name,site_type,version_info,cre_date,upd_date) values( sqapggrid_id.nextval,"&amp;X26&amp;",'"&amp;D26&amp;"', (select description from tapage where file_name = '"&amp;C26&amp;"') ,'"&amp;E26&amp;"','"&amp;C26&amp;"','"&amp;S26&amp;"','"&amp;T26&amp;"',to_char(sysdate,'yyyymmddhh24miss'),to_char(sysdate,'yyyymmddhh24miss'));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6" s="11" t="str">
        <f>AH26&amp;" values( sqapggridcol_id.nextval ,"&amp;AF26&amp;",'"&amp;F26&amp;"','"&amp;I26&amp;"','"&amp;R26&amp;"','"&amp;J26&amp;"','"&amp;K26&amp;"','"&amp;L26&amp;"','"&amp;M26&amp;"','false','"&amp;Q26&amp;"','"&amp;O26&amp;"','"&amp;G26&amp;"','"&amp;C26&amp;"','"&amp;D26&amp;"','"&amp;U26&amp;"','"&amp;V26&amp;"','"&amp;S26&amp;"','"&amp;T26&amp;"','"&amp;Q26&amp;"','"&amp;R26&amp;"',to_char(sysdate,'yyyymmddhh24miss'),to_char(sysdate,'yyyymmddhh24miss') ,'"&amp;P26&amp;"'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),'REMARK','350','remark','400','ro','left','str','false','LABEL','N','비고','workPmiList','gridbox','TAPMINSLIST','REMARK','DREAM','3.00','LABEL','remark',to_char(sysdate,'yyyymmddhh24miss'),to_char(sysdate,'yyyymmddhh24miss') ,'Y'  ); </v>
      </c>
      <c r="AW26" s="11" t="str">
        <f>" insert into tapggrid(pggrid_id,page_id,grid_obj_id,description,height,file_name,site_type,version_info,cre_date,upd_date) values( next value for sqapggrid_id,"&amp;X26&amp;",'"&amp;D26&amp;"', (select description from tapage where file_name = '"&amp;C26&amp;"') ,'"&amp;E26&amp;"','"&amp;C26&amp;"','"&amp;S26&amp;"','"&amp;T26&amp;"',CONVERT(CHAR(8),GETDATE(),112)+REPLACE(CONVERT(CHAR(8),GETDATE(),108),':',''),CONVERT(CHAR(8),GETDATE(),112)+REPLACE(CONVERT(CHAR(8),GETDATE(),108),':',''));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6" s="11" t="str">
        <f>AH26&amp;" values( next value for sqapggridcol_id ,"&amp;AF26&amp;",'"&amp;F26&amp;"','"&amp;I26&amp;"','"&amp;R26&amp;"','"&amp;J26&amp;"','"&amp;K26&amp;"','"&amp;L26&amp;"','"&amp;M26&amp;"','false','"&amp;Q26&amp;"','"&amp;O26&amp;"','"&amp;G26&amp;"','"&amp;C26&amp;"','"&amp;D26&amp;"','"&amp;U26&amp;"','"&amp;V26&amp;"','"&amp;S26&amp;"','"&amp;T26&amp;"','"&amp;Q26&amp;"','"&amp;R26&amp;"',CONVERT(CHAR(8),GETDATE(),112)+REPLACE(CONVERT(CHAR(8),GETDATE(),108),':',''),CONVERT(CHAR(8),GETDATE(),112)+REPLACE(CONVERT(CHAR(8),GETDATE(),108),':','')  ,'"&amp;P26&amp;"'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REMARK','350','remark','400','ro','left','str','false','LABEL','N','비고','workPmiList','gridbox','TAPMINSLIST','REMARK','DREAM','3.00','LABEL','remark',CONVERT(CHAR(8),GETDATE(),112)+REPLACE(CONVERT(CHAR(8),GETDATE(),108),':',''),CONVERT(CHAR(8),GETDATE(),112)+REPLACE(CONVERT(CHAR(8),GETDATE(),108),':','')  ,'Y' ); </v>
      </c>
    </row>
    <row r="27" spans="1:50" x14ac:dyDescent="0.3">
      <c r="A27" s="64">
        <v>26</v>
      </c>
      <c r="B27" s="66" t="s">
        <v>36</v>
      </c>
      <c r="C27" s="67" t="s">
        <v>42</v>
      </c>
      <c r="D27" s="67" t="s">
        <v>130</v>
      </c>
      <c r="E27" s="67" t="s">
        <v>131</v>
      </c>
      <c r="F27" s="64" t="s">
        <v>161</v>
      </c>
      <c r="G27" s="64"/>
      <c r="H27" s="64"/>
      <c r="I27" s="67" t="s">
        <v>432</v>
      </c>
      <c r="J27" s="64" t="s">
        <v>50</v>
      </c>
      <c r="K27" s="64" t="s">
        <v>144</v>
      </c>
      <c r="L27" s="64" t="s">
        <v>145</v>
      </c>
      <c r="M27" s="64" t="s">
        <v>146</v>
      </c>
      <c r="N27" s="64" t="s">
        <v>147</v>
      </c>
      <c r="O27" s="64" t="s">
        <v>38</v>
      </c>
      <c r="P27" s="64" t="s">
        <v>44</v>
      </c>
      <c r="Q27" s="64" t="s">
        <v>55</v>
      </c>
      <c r="R27" s="64"/>
      <c r="S27" s="67" t="s">
        <v>39</v>
      </c>
      <c r="T27" s="68" t="s">
        <v>405</v>
      </c>
      <c r="U27" s="64"/>
      <c r="V27" s="64"/>
      <c r="X27" s="11" t="str">
        <f t="shared" ref="X27" si="58">" (select page_id from tapage where file_name='"&amp;C27&amp;"') "</f>
        <v xml:space="preserve"> (select page_id from tapage where file_name='workPmiList') </v>
      </c>
      <c r="Y27" s="1" t="s">
        <v>33</v>
      </c>
      <c r="Z27" s="11" t="str">
        <f t="shared" ref="Z27" si="59">" insert into tapggrid(pggrid_id,page_id,grid_obj_id,description,height,file_name,site_type,version_info,cre_date,upd_date) values( sqapggrid_id.nextval,"&amp;X27&amp;",'"&amp;D27&amp;"', (select description from tapage where file_name = '"&amp;C27&amp;"') ,'"&amp;E27&amp;"','"&amp;C27&amp;"','"&amp;S27&amp;"','"&amp;T27&amp;"',to_char(sysdate,'yyyymmddhh24miss'),to_char(sysdate,'yyyymmddhh24miss'));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A27" s="11" t="str">
        <f t="shared" ref="AA27" si="60">" update tapggrid set height  = '"&amp;E27&amp;"', file_name  = '"&amp;C27&amp;"', site_type  = '"&amp;S27&amp;"', version_info  = '"&amp;T27&amp;"',  upd_date  = to_char(sysdate,'yyyymmddhh24miss') where page_id   = "&amp;X27&amp;" and grid_obj_id   = '"&amp;D27&amp;"'  ; "</f>
        <v xml:space="preserve"> update tapggrid set height  = '10', file_name  = 'workPmiList', site_type  = 'DREAM', version_info  = '3.00',  upd_date  = to_char(sysdate,'yyyymmddhh24miss') where page_id   =  (select page_id from tapage where file_name='workPmiList')  and grid_obj_id   = 'gridbox'  ; </v>
      </c>
      <c r="AB27" s="1" t="s">
        <v>33</v>
      </c>
      <c r="AC27" s="11" t="str">
        <f t="shared" ref="AC27" si="61">" insert into tapggrid(pggrid_id,page_id,grid_obj_id,description,height,file_name,site_type,version_info,cre_date,upd_date) values( next value for sqapggrid_id,"&amp;X27&amp;",'"&amp;D27&amp;"', (select description from tapage where file_name = '"&amp;C27&amp;"') ,'"&amp;E27&amp;"','"&amp;C27&amp;"','"&amp;S27&amp;"','"&amp;T27&amp;"',CONVERT(CHAR(8),GETDATE(),112)+REPLACE(CONVERT(CHAR(8),GETDATE(),108),':',''),CONVERT(CHAR(8),GETDATE(),112)+REPLACE(CONVERT(CHAR(8),GETDATE(),108),':',''));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D27" s="11" t="str">
        <f t="shared" ref="AD27" si="62" xml:space="preserve"> "update tapggrid set height  = '"&amp;E27&amp;"', file_name  = '"&amp;C27&amp;"', site_type  = '"&amp;S27&amp;"', version_info  = '"&amp;T27&amp;"',  upd_date  = CONVERT(CHAR(8),GETDATE(),112)+REPLACE(CONVERT(CHAR(8),GETDATE(),108),':','') where page_id   = "&amp;X27&amp;" and grid_obj_id   = '"&amp;D27&amp;"'  ; "</f>
        <v xml:space="preserve">update tapggrid set height  = '10', file_name  = 'workPmiList', site_type  = 'DREAM', version_info  = '3.00',  upd_date  = CONVERT(CHAR(8),GETDATE(),112)+REPLACE(CONVERT(CHAR(8),GETDATE(),108),':','') where page_id   =  (select page_id from tapage where file_name='workPmiList')  and grid_obj_id   = 'gridbox'  ; </v>
      </c>
      <c r="AE27" s="1" t="s">
        <v>33</v>
      </c>
      <c r="AF27" s="11" t="str">
        <f t="shared" ref="AF27" si="63">" (select pggrid_id from tapggrid where page_id = "&amp;X27&amp;"  and grid_obj_id = '"&amp;D27&amp;"' )"</f>
        <v xml:space="preserve"> (select pggrid_id from tapggrid where page_id =  (select page_id from tapage where file_name='workPmiList')   and grid_obj_id = 'gridbox' )</v>
      </c>
      <c r="AG27" s="11" t="str">
        <f t="shared" si="6"/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</v>
      </c>
      <c r="AH27" s="11" t="str">
        <f t="shared" ref="AH27" si="64">AG27&amp;",display_yn)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</v>
      </c>
      <c r="AI27" s="1" t="s">
        <v>33</v>
      </c>
      <c r="AJ27" s="11" t="str">
        <f t="shared" ref="AJ27" si="65">AH27&amp;" values( sqapggridcol_id.nextval ,"&amp;AF27&amp;",'"&amp;F27&amp;"','"&amp;I27&amp;"','"&amp;R27&amp;"','"&amp;J27&amp;"','"&amp;K27&amp;"','"&amp;L27&amp;"','"&amp;M27&amp;"','"&amp;N27&amp;"','"&amp;Q27&amp;"','"&amp;O27&amp;"','"&amp;G27&amp;"','"&amp;C27&amp;"','"&amp;D27&amp;"','"&amp;U27&amp;"','"&amp;V27&amp;"','"&amp;S27&amp;"','"&amp;T27&amp;"','"&amp;Q27&amp;"','"&amp;R27&amp;"',to_char(sysdate,'yyyymmddhh24miss'),to_char(sysdate,'yyyymmddhh24miss'),'"&amp;P27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),'PMINSLISTID','360','','100','ro','left','str','true','LABEL','Y','','workPmiList','gridbox','','','DREAM','3.00','LABEL','',to_char(sysdate,'yyyymmddhh24miss'),to_char(sysdate,'yyyymmddhh24miss'),'N' ); </v>
      </c>
      <c r="AK27" s="11" t="str">
        <f t="shared" ref="AK27" si="66">" update tapggridcol set ord_no ='"&amp;I27&amp;"' , key_type = '"&amp;Q27&amp;"', key_no ='"&amp;R27&amp;"' , site_type ='"&amp;S27&amp;"', version_info ='"&amp;T27&amp;"' , basic_key_type ='"&amp;Q27&amp;"' , basic_key_no ='"&amp;R27&amp;"', width='"&amp;J27&amp;"' ,type='"&amp;K27&amp;"' ,align='"&amp;L27&amp;"' ,sort='"&amp;M27&amp;"' ,hidden='"&amp;N27&amp;"' ,system_col='"&amp;O27&amp;"' ,display_yn='"&amp;P27&amp;"' ,description='"&amp;G27&amp;"' ,file_name='"&amp;C27&amp;"' ,grid_obj_id='"&amp;D27&amp;"' ,table_name='"&amp;U27&amp;"' ,column_name='"&amp;V27&amp;"' , upd_date =to_char(sysdate,'yyyymmddhh24miss')  where pggrid_id ="&amp;AF27&amp;" and column_id = '"&amp;F27&amp;"' ; "</f>
        <v xml:space="preserve"> update tapggridcol set ord_no ='360' , key_type = 'LABEL', key_no ='' , site_type ='DREAM', version_info ='3.00' , basic_key_type ='LABEL' , basic_key_no ='', width='100' ,type='ro' ,align='left' ,sort='str' ,hidden='true' ,system_col='Y' ,display_yn='N' ,description='' ,file_name='workPmiList' ,grid_obj_id='gridbox' ,table_name='' ,column_name='' , upd_date =to_char(sysdate,'yyyymmddhh24miss')  where pggrid_id = (select pggrid_id from tapggrid where page_id =  (select page_id from tapage where file_name='workPmiList')   and grid_obj_id = 'gridbox' ) and column_id = 'PMINSLISTID' ; </v>
      </c>
      <c r="AL27" s="1" t="s">
        <v>33</v>
      </c>
      <c r="AM27" s="11" t="str">
        <f t="shared" ref="AM27" si="67">AH27&amp;" values( next value for sqapggridcol_id ,"&amp;AF27&amp;",'"&amp;F27&amp;"','"&amp;I27&amp;"','"&amp;R27&amp;"','"&amp;J27&amp;"','"&amp;K27&amp;"','"&amp;L27&amp;"','"&amp;M27&amp;"','"&amp;N27&amp;"','"&amp;Q27&amp;"','"&amp;O27&amp;"','"&amp;G27&amp;"','"&amp;C27&amp;"','"&amp;D27&amp;"','"&amp;U27&amp;"','"&amp;V27&amp;"','"&amp;S27&amp;"','"&amp;T27&amp;"','"&amp;Q27&amp;"','"&amp;R27&amp;"',CONVERT(CHAR(8),GETDATE(),112)+REPLACE(CONVERT(CHAR(8),GETDATE(),108),':',''),CONVERT(CHAR(8),GETDATE(),112)+REPLACE(CONVERT(CHAR(8),GETDATE(),108),':','') ,'"&amp;P27&amp;"'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INSLISTID','360','','100','ro','left','str','true','LABEL','Y','','workPmiList','gridbox','','','DREAM','3.00','LABEL','',CONVERT(CHAR(8),GETDATE(),112)+REPLACE(CONVERT(CHAR(8),GETDATE(),108),':',''),CONVERT(CHAR(8),GETDATE(),112)+REPLACE(CONVERT(CHAR(8),GETDATE(),108),':','') ,'N' ); </v>
      </c>
      <c r="AN27" s="11" t="str">
        <f t="shared" ref="AN27" si="68">" update tapggridcol set ord_no ='"&amp;I27&amp;"' , key_type = '"&amp;Q27&amp;"', key_no ='"&amp;R27&amp;"' , site_type ='"&amp;S27&amp;"', version_info ='"&amp;T27&amp;"' , basic_key_type ='"&amp;Q27&amp;"' , basic_key_no ='"&amp;R27&amp;"', width='"&amp;J27&amp;"' ,type='"&amp;K27&amp;"' ,align='"&amp;L27&amp;"' ,sort='"&amp;M27&amp;"' ,hidden='"&amp;N27&amp;"' ,system_col='"&amp;O27&amp;"',display_yn='"&amp;P27&amp;"'  ,description='"&amp;G27&amp;"' ,file_name='"&amp;C27&amp;"' ,grid_obj_id='"&amp;D27&amp;"' ,table_name='"&amp;U27&amp;"' ,column_name='"&amp;V27&amp;"' , upd_date =CONVERT(CHAR(8),GETDATE(),112)+REPLACE(CONVERT(CHAR(8),GETDATE(),108),':','')  where pggrid_id ="&amp;AF27&amp;" and column_id = '"&amp;F27&amp;"' ; "</f>
        <v xml:space="preserve"> update tapggridcol set ord_no ='360' , key_type = 'LABEL', key_no ='' , site_type ='DREAM', version_info ='3.00' , basic_key_type ='LABEL' , basic_key_no ='', width='100' ,type='ro' ,align='left' ,sort='str' ,hidden='true' ,system_col='Y',display_yn='N'  ,description='' ,file_name='workPmiList' ,grid_obj_id='gridbox' ,table_name='' ,column_name='' , upd_date =CONVERT(CHAR(8),GETDATE(),112)+REPLACE(CONVERT(CHAR(8),GETDATE(),108),':','')  where pggrid_id = (select pggrid_id from tapggrid where page_id =  (select page_id from tapage where file_name='workPmiList')   and grid_obj_id = 'gridbox' ) and column_id = 'PMINSLISTID' ; </v>
      </c>
      <c r="AO27" s="1" t="s">
        <v>33</v>
      </c>
      <c r="AP27" s="11" t="str">
        <f t="shared" ref="AP27" si="69">" insert into tapggrid(pggrid_id,page_id,grid_obj_id,description,height,file_name,site_type,version_info,cre_date,upd_date) values( sqapggrid_id.nextval,"&amp;X27&amp;",'"&amp;D27&amp;"', (select description from tapage where file_name = '"&amp;C27&amp;"') ,'"&amp;E27&amp;"','"&amp;C27&amp;"','"&amp;S27&amp;"','"&amp;T27&amp;"',to_char(sysdate,'yyyymmddhh24miss'),to_char(sysdate,'yyyymmddhh24miss'));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Q27" s="11" t="str">
        <f t="shared" ref="AQ27" si="70">AH27&amp;" values( sqapggridcol_id.nextval ,"&amp;AF27&amp;",'"&amp;F27&amp;"','"&amp;I27&amp;"','"&amp;R27&amp;"','"&amp;J27&amp;"','"&amp;K27&amp;"','"&amp;L27&amp;"','"&amp;M27&amp;"','true','"&amp;Q27&amp;"','"&amp;O27&amp;"','"&amp;G27&amp;"','"&amp;C27&amp;"','"&amp;D27&amp;"','"&amp;U27&amp;"','"&amp;V27&amp;"','"&amp;S27&amp;"','"&amp;T27&amp;"','"&amp;Q27&amp;"','"&amp;R27&amp;"',to_char(sysdate,'yyyymmddhh24miss'),to_char(sysdate,'yyyymmddhh24miss')  ,'"&amp;P27&amp;"'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),'PMINSLISTID','360','','100','ro','left','str','true','LABEL','Y','','workPmiList','gridbox','','','DREAM','3.00','LABEL','',to_char(sysdate,'yyyymmddhh24miss'),to_char(sysdate,'yyyymmddhh24miss')  ,'N' ); </v>
      </c>
      <c r="AR27" s="11" t="str">
        <f t="shared" ref="AR27" si="71">" insert into tapggrid(pggrid_id,page_id,grid_obj_id,description,height,file_name,site_type,version_info,cre_date,upd_date) values( next value for sqapggrid_id,"&amp;X27&amp;",'"&amp;D27&amp;"', (select description from tapage where file_name = '"&amp;C27&amp;"') ,'"&amp;E27&amp;"','"&amp;C27&amp;"','"&amp;S27&amp;"','"&amp;T27&amp;"',CONVERT(CHAR(8),GETDATE(),112)+REPLACE(CONVERT(CHAR(8),GETDATE(),108),':',''),CONVERT(CHAR(8),GETDATE(),112)+REPLACE(CONVERT(CHAR(8),GETDATE(),108),':',''));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S27" s="11" t="str">
        <f t="shared" ref="AS27" si="72">AH27&amp;" values( next value for sqapggridcol_id ,"&amp;AF27&amp;",'"&amp;F27&amp;"','"&amp;I27&amp;"','"&amp;R27&amp;"','"&amp;J27&amp;"','"&amp;K27&amp;"','"&amp;L27&amp;"','"&amp;M27&amp;"','true','"&amp;Q27&amp;"','"&amp;O27&amp;"','"&amp;G27&amp;"','"&amp;C27&amp;"','"&amp;D27&amp;"','"&amp;U27&amp;"','"&amp;V27&amp;"','"&amp;S27&amp;"','"&amp;T27&amp;"','"&amp;Q27&amp;"','"&amp;R27&amp;"',CONVERT(CHAR(8),GETDATE(),112)+REPLACE(CONVERT(CHAR(8),GETDATE(),108),':',''),CONVERT(CHAR(8),GETDATE(),112)+REPLACE(CONVERT(CHAR(8),GETDATE(),108),':','')  ,'"&amp;P27&amp;"'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INSLISTID','360','','100','ro','left','str','true','LABEL','Y','','workPmiList','gridbox','','','DREAM','3.00','LABEL','',CONVERT(CHAR(8),GETDATE(),112)+REPLACE(CONVERT(CHAR(8),GETDATE(),108),':',''),CONVERT(CHAR(8),GETDATE(),112)+REPLACE(CONVERT(CHAR(8),GETDATE(),108),':','')  ,'N' ); </v>
      </c>
      <c r="AT27" s="1" t="s">
        <v>33</v>
      </c>
      <c r="AU27" s="11" t="str">
        <f t="shared" ref="AU27" si="73">" insert into tapggrid(pggrid_id,page_id,grid_obj_id,description,height,file_name,site_type,version_info,cre_date,upd_date) values( sqapggrid_id.nextval,"&amp;X27&amp;",'"&amp;D27&amp;"', (select description from tapage where file_name = '"&amp;C27&amp;"') ,'"&amp;E27&amp;"','"&amp;C27&amp;"','"&amp;S27&amp;"','"&amp;T27&amp;"',to_char(sysdate,'yyyymmddhh24miss'),to_char(sysdate,'yyyymmddhh24miss')); "</f>
        <v xml:space="preserve"> insert into tapggrid(pggrid_id,page_id,grid_obj_id,description,height,file_name,site_type,version_info,cre_date,upd_date) values( sqapggrid_id.nextval, (select page_id from tapage where file_name='workPmiList') ,'gridbox', (select description from tapage where file_name = 'workPmiList') ,'10','workPmiList','DREAM','3.00',to_char(sysdate,'yyyymmddhh24miss'),to_char(sysdate,'yyyymmddhh24miss')); </v>
      </c>
      <c r="AV27" s="11" t="str">
        <f t="shared" ref="AV27" si="74">AH27&amp;" values( sqapggridcol_id.nextval ,"&amp;AF27&amp;",'"&amp;F27&amp;"','"&amp;I27&amp;"','"&amp;R27&amp;"','"&amp;J27&amp;"','"&amp;K27&amp;"','"&amp;L27&amp;"','"&amp;M27&amp;"','false','"&amp;Q27&amp;"','"&amp;O27&amp;"','"&amp;G27&amp;"','"&amp;C27&amp;"','"&amp;D27&amp;"','"&amp;U27&amp;"','"&amp;V27&amp;"','"&amp;S27&amp;"','"&amp;T27&amp;"','"&amp;Q27&amp;"','"&amp;R27&amp;"',to_char(sysdate,'yyyymmddhh24miss'),to_char(sysdate,'yyyymmddhh24miss') ,'"&amp;P27&amp;"' 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sqapggridcol_id.nextval , (select pggrid_id from tapggrid where page_id =  (select page_id from tapage where file_name='workPmiList')   and grid_obj_id = 'gridbox' ),'PMINSLISTID','360','','100','ro','left','str','false','LABEL','Y','','workPmiList','gridbox','','','DREAM','3.00','LABEL','',to_char(sysdate,'yyyymmddhh24miss'),to_char(sysdate,'yyyymmddhh24miss') ,'N'  ); </v>
      </c>
      <c r="AW27" s="11" t="str">
        <f t="shared" ref="AW27" si="75">" insert into tapggrid(pggrid_id,page_id,grid_obj_id,description,height,file_name,site_type,version_info,cre_date,upd_date) values( next value for sqapggrid_id,"&amp;X27&amp;",'"&amp;D27&amp;"', (select description from tapage where file_name = '"&amp;C27&amp;"') ,'"&amp;E27&amp;"','"&amp;C27&amp;"','"&amp;S27&amp;"','"&amp;T27&amp;"',CONVERT(CHAR(8),GETDATE(),112)+REPLACE(CONVERT(CHAR(8),GETDATE(),108),':',''),CONVERT(CHAR(8),GETDATE(),112)+REPLACE(CONVERT(CHAR(8),GETDATE(),108),':','')); "</f>
        <v xml:space="preserve"> insert into tapggrid(pggrid_id,page_id,grid_obj_id,description,height,file_name,site_type,version_info,cre_date,upd_date) values( next value for sqapggrid_id, (select page_id from tapage where file_name='workPmiList') ,'gridbox', (select description from tapage where file_name = 'workPmiList') ,'10','workPmiList','DREAM','3.00',CONVERT(CHAR(8),GETDATE(),112)+REPLACE(CONVERT(CHAR(8),GETDATE(),108),':',''),CONVERT(CHAR(8),GETDATE(),112)+REPLACE(CONVERT(CHAR(8),GETDATE(),108),':','')); </v>
      </c>
      <c r="AX27" s="11" t="str">
        <f t="shared" ref="AX27" si="76">AH27&amp;" values( next value for sqapggridcol_id ,"&amp;AF27&amp;",'"&amp;F27&amp;"','"&amp;I27&amp;"','"&amp;R27&amp;"','"&amp;J27&amp;"','"&amp;K27&amp;"','"&amp;L27&amp;"','"&amp;M27&amp;"','false','"&amp;Q27&amp;"','"&amp;O27&amp;"','"&amp;G27&amp;"','"&amp;C27&amp;"','"&amp;D27&amp;"','"&amp;U27&amp;"','"&amp;V27&amp;"','"&amp;S27&amp;"','"&amp;T27&amp;"','"&amp;Q27&amp;"','"&amp;R27&amp;"',CONVERT(CHAR(8),GETDATE(),112)+REPLACE(CONVERT(CHAR(8),GETDATE(),108),':',''),CONVERT(CHAR(8),GETDATE(),112)+REPLACE(CONVERT(CHAR(8),GETDATE(),108),':','')  ,'"&amp;P27&amp;"' ); "</f>
        <v xml:space="preserve">insert into tapggridcol(pggridcol_id,pggrid_id,column_id,ord_no,key_no,width,type,align,sort,hidden,key_type,system_col,description,file_name,grid_obj_id,table_name,column_name,site_type,version_info,basic_key_type,basic_key_no,cre_date,upd_date ,display_yn)  values( next value for sqapggridcol_id , (select pggrid_id from tapggrid where page_id =  (select page_id from tapage where file_name='workPmiList')   and grid_obj_id = 'gridbox' ),'PMINSLISTID','360','','100','ro','left','str','false','LABEL','Y','','workPmiList','gridbox','','','DREAM','3.00','LABEL','',CONVERT(CHAR(8),GETDATE(),112)+REPLACE(CONVERT(CHAR(8),GETDATE(),108),':',''),CONVERT(CHAR(8),GETDATE(),112)+REPLACE(CONVERT(CHAR(8),GETDATE(),108),':','')  ,'N' ); </v>
      </c>
    </row>
  </sheetData>
  <autoFilter ref="A1:AY1" xr:uid="{00000000-0009-0000-0000-000005000000}"/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2"/>
  <sheetViews>
    <sheetView workbookViewId="0">
      <selection activeCell="L7" sqref="L7"/>
    </sheetView>
  </sheetViews>
  <sheetFormatPr defaultRowHeight="16.5" x14ac:dyDescent="0.3"/>
  <sheetData>
    <row r="1" spans="1:58" s="13" customFormat="1" ht="61.5" customHeight="1" x14ac:dyDescent="0.3">
      <c r="A1" s="18" t="s">
        <v>162</v>
      </c>
      <c r="B1" s="18" t="s">
        <v>163</v>
      </c>
      <c r="C1" s="18" t="s">
        <v>165</v>
      </c>
      <c r="D1" s="18" t="s">
        <v>271</v>
      </c>
      <c r="E1" s="19" t="s">
        <v>272</v>
      </c>
      <c r="F1" s="19" t="s">
        <v>273</v>
      </c>
      <c r="G1" s="19" t="s">
        <v>274</v>
      </c>
      <c r="H1" s="19" t="s">
        <v>275</v>
      </c>
      <c r="I1" s="18" t="s">
        <v>190</v>
      </c>
      <c r="J1" s="19" t="s">
        <v>276</v>
      </c>
      <c r="K1" s="18" t="s">
        <v>207</v>
      </c>
      <c r="L1" s="18" t="s">
        <v>277</v>
      </c>
      <c r="M1" s="18" t="s">
        <v>172</v>
      </c>
      <c r="N1" s="20" t="s">
        <v>173</v>
      </c>
      <c r="O1" s="18" t="s">
        <v>34</v>
      </c>
      <c r="P1" s="18" t="s">
        <v>175</v>
      </c>
      <c r="Q1"/>
      <c r="R1" s="31" t="s">
        <v>278</v>
      </c>
      <c r="S1" s="31" t="s">
        <v>279</v>
      </c>
      <c r="T1"/>
      <c r="U1" s="24" t="s">
        <v>280</v>
      </c>
      <c r="V1" s="24" t="s">
        <v>281</v>
      </c>
      <c r="W1"/>
      <c r="X1" s="32" t="s">
        <v>282</v>
      </c>
      <c r="Y1" s="32" t="s">
        <v>212</v>
      </c>
      <c r="Z1" s="32" t="s">
        <v>283</v>
      </c>
      <c r="AA1"/>
      <c r="AB1" s="31" t="s">
        <v>284</v>
      </c>
      <c r="AC1" s="33" t="s">
        <v>285</v>
      </c>
      <c r="AD1" s="33" t="s">
        <v>329</v>
      </c>
      <c r="AE1" s="33" t="s">
        <v>316</v>
      </c>
      <c r="AF1" s="33" t="s">
        <v>330</v>
      </c>
      <c r="AG1" s="33" t="s">
        <v>318</v>
      </c>
      <c r="AH1" s="33" t="s">
        <v>331</v>
      </c>
      <c r="AI1" s="33" t="s">
        <v>320</v>
      </c>
      <c r="AJ1"/>
      <c r="AK1" s="24" t="s">
        <v>286</v>
      </c>
      <c r="AL1" s="24" t="s">
        <v>287</v>
      </c>
      <c r="AM1" s="24" t="s">
        <v>334</v>
      </c>
      <c r="AN1" s="24" t="s">
        <v>335</v>
      </c>
      <c r="AO1" s="24" t="s">
        <v>336</v>
      </c>
      <c r="AP1" s="24" t="s">
        <v>337</v>
      </c>
      <c r="AQ1" s="24" t="s">
        <v>338</v>
      </c>
      <c r="AR1" s="24" t="s">
        <v>339</v>
      </c>
      <c r="AS1"/>
      <c r="AT1" s="34" t="s">
        <v>288</v>
      </c>
      <c r="AU1" s="35" t="s">
        <v>289</v>
      </c>
      <c r="AV1" s="26" t="s">
        <v>290</v>
      </c>
      <c r="AW1" s="26" t="s">
        <v>291</v>
      </c>
      <c r="AX1"/>
      <c r="AY1" s="35" t="s">
        <v>292</v>
      </c>
      <c r="AZ1" s="35" t="s">
        <v>293</v>
      </c>
      <c r="BA1" s="35" t="s">
        <v>342</v>
      </c>
      <c r="BB1" s="26" t="s">
        <v>294</v>
      </c>
      <c r="BC1" s="26" t="s">
        <v>295</v>
      </c>
      <c r="BD1" s="26" t="s">
        <v>343</v>
      </c>
      <c r="BE1"/>
      <c r="BF1"/>
    </row>
    <row r="2" spans="1:58" x14ac:dyDescent="0.3">
      <c r="R2" s="15" t="str">
        <f>" insert into talinkedfunc(linkedfunc_id, linkedfunc_no, linkedfunc_method, description, is_use) values(sqalinkedfunc_id.nextval, '"&amp;D2&amp;"', '"&amp;E2&amp;"', '"&amp;F2&amp;"', 'Y'); "</f>
        <v xml:space="preserve"> insert into talinkedfunc(linkedfunc_id, linkedfunc_no, linkedfunc_method, description, is_use) values(sqalinkedfunc_id.nextval, '', '', '', 'Y'); </v>
      </c>
      <c r="S2" s="15" t="str">
        <f>" update talinkedfunc set linkedfunc_method='"&amp;E2&amp;"', description='"&amp;F2&amp;"'   where linkedfunc_no='"&amp;D2&amp;"' ;"</f>
        <v xml:space="preserve"> update talinkedfunc set linkedfunc_method='', description=''   where linkedfunc_no='' ;</v>
      </c>
      <c r="T2" t="s">
        <v>33</v>
      </c>
      <c r="U2" s="15" t="str">
        <f>" insert into talinkedfunc(linkedfunc_id, linkedfunc_no, linkedfunc_method, description, is_use) values(next value for sqalinkedfunc_id, '"&amp;D2&amp;"', '"&amp;E2&amp;"', '"&amp;F2&amp;"', 'Y'); "</f>
        <v xml:space="preserve"> insert into talinkedfunc(linkedfunc_id, linkedfunc_no, linkedfunc_method, description, is_use) values(next value for sqalinkedfunc_id, '', '', '', 'Y'); </v>
      </c>
      <c r="V2" s="15" t="str">
        <f>" update talinkedfunc set linkedfunc_method='"&amp;E2&amp;"', description='"&amp;F2&amp;"'   where linkedfunc_no='"&amp;D2&amp;"' ;"</f>
        <v xml:space="preserve"> update talinkedfunc set linkedfunc_method='', description=''   where linkedfunc_no='' ;</v>
      </c>
      <c r="W2" t="s">
        <v>33</v>
      </c>
      <c r="X2" s="15" t="str">
        <f>"  (select linkedfunc_id from talinkedfunc where linkedfunc_no = '"&amp;D2&amp;"') "</f>
        <v xml:space="preserve">  (select linkedfunc_id from talinkedfunc where linkedfunc_no = '') </v>
      </c>
      <c r="Y2" s="15" t="str">
        <f t="shared" ref="Y2" si="0">"  (select page_id from tapage where file_name = '"&amp;C2&amp;"') "</f>
        <v xml:space="preserve">  (select page_id from tapage where file_name = '') </v>
      </c>
      <c r="Z2" s="15" t="str">
        <f>" insert into tapglinkedfunc(pglinkedfunc_id, page_id, linkedfunc_id, file_name, linkedfunc_method, key_type, key_no, ord_no, is_use, linkedfunc_loc, site_type, version_info, basic_key_type, basic_key_no, cre_date, upd_date )  "</f>
        <v xml:space="preserve"> insert into tapglinkedfunc(pglinkedfunc_id, page_id, linkedfunc_id, file_name, linkedfunc_method, key_type, key_no, ord_no, is_use, linkedfunc_loc, site_type, version_info, basic_key_type, basic_key_no, cre_date, upd_date )  </v>
      </c>
      <c r="AA2" t="s">
        <v>33</v>
      </c>
      <c r="AB2" s="15" t="str">
        <f>Z2&amp;" values(sqapglinkedfunc_id.nextval, "&amp;Y2&amp;", "&amp;X2&amp;", '"&amp;C2&amp;"' , '"&amp;E2&amp;"','"&amp;M2&amp;"', '"&amp;N2&amp;"','"&amp;I2&amp;"','"&amp;J2&amp;"','"&amp;L2&amp;"','"&amp;O2&amp;"','"&amp;P2&amp;"','"&amp;M2&amp;"', '"&amp;N2&amp;"',to_char(sysdate,'yyyymmddhh24miss'),to_char(sysdate,'yyyymmddhh24miss') ); "</f>
        <v xml:space="preserve"> insert into tapglinkedfunc(pglinkedfunc_id, page_id, linkedfunc_id, file_name, linkedfunc_method, key_type, key_no, ord_no, is_use, linkedfunc_loc, site_type, version_info, basic_key_type, basic_key_no, cre_date, upd_date )   values(sqapglinkedfunc_id.nextval,   (select page_id from tapage where file_name = '') ,   (select linkedfunc_id from talinkedfunc where linkedfunc_no = '') , '' , '','', '','','','','','','', '',to_char(sysdate,'yyyymmddhh24miss'),to_char(sysdate,'yyyymmddhh24miss') ); </v>
      </c>
      <c r="AC2" s="15" t="str">
        <f>" update tapglinkedfunc set key_type = '"&amp;M2&amp;"', key_no='"&amp;N2&amp;"', ord_no='"&amp;I2&amp;"', is_use ='"&amp;J2&amp;"', site_type='"&amp;O2&amp;"', version_info='"&amp;P2&amp;"', basic_key_type='"&amp;M2&amp;"', basic_key_no = '"&amp;N2&amp;"', upd_date=to_char(sysdate,'yyyymmddhh24miss') where page_id ="&amp;Y2&amp;"  and linkedfunc_id = "&amp;X2&amp;"; "</f>
        <v xml:space="preserve"> update tapglinkedfunc set key_type = '', key_no='', ord_no='', is_use ='', site_type='', version_info='', basic_key_type='', basic_key_no = '', upd_date=to_char(sysdate,'yyyymmddhh24miss') where page_id =  (select page_id from tapage where file_name = '')   and linkedfunc_id =   (select linkedfunc_id from talinkedfunc where linkedfunc_no = '') ; </v>
      </c>
      <c r="AD2" s="15" t="str">
        <f>" insert into talang(lang_id, lang, key_type, key_no, key_name, upd_date,is_comm_js_use, use_web, use_android, cre_date, site_type, version_info, basic_key_name) values(sqalang_id.nextval, 'ko','"&amp;M2&amp;"','"&amp;N2&amp;"','"&amp;F2&amp;"',to_char(sysdate,'yyyymmddhh24miss'),'N','Y','N',to_char(sysdate,'yyyymmddhh24miss'),'"&amp;O2&amp;"','"&amp;P2&amp;"','"&amp;F2&amp;"'); "</f>
        <v xml:space="preserve"> insert into talang(lang_id, lang, key_type, key_no, key_name, upd_date,is_comm_js_use, use_web, use_android, cre_date, site_type, version_info, basic_key_name) values(sqalang_id.nextval, 'ko','','','',to_char(sysdate,'yyyymmddhh24miss'),'N','Y','N',to_char(sysdate,'yyyymmddhh24miss'),'','',''); </v>
      </c>
      <c r="AE2" s="15" t="str">
        <f>"update talang set key_name = '"&amp;F2&amp;"', basic_key_name = '"&amp;F2&amp;"',site_type = '"&amp;O2&amp;"', version_info = '"&amp;P2&amp;"',  upd_date =to_char(sysdate,'yyyymmddhh24miss')  where lang = 'ko' and key_type =  '"&amp;M2&amp;"' and key_no =  '"&amp;N2&amp;"' ; "</f>
        <v xml:space="preserve">update talang set key_name = '', basic_key_name = '',site_type = '', version_info = '',  upd_date =to_char(sysdate,'yyyymmddhh24miss')  where lang = 'ko' and key_type =  '' and key_no =  '' ; </v>
      </c>
      <c r="AF2" s="15" t="str">
        <f>" insert into talang(lang_id, lang, key_type, key_no, key_name, upd_date,is_comm_js_use, use_web, use_android, cre_date, site_type, version_info, basic_key_name) values(sqalang_id.nextval, 'en','"&amp;M2&amp;"','"&amp;N2&amp;"','"&amp;G2&amp;"',to_char(sysdate,'yyyymmddhh24miss'),'N','Y','N',to_char(sysdate,'yyyymmddhh24miss'),'"&amp;O2&amp;"','"&amp;P2&amp;"','"&amp;G2&amp;"'); "</f>
        <v xml:space="preserve"> insert into talang(lang_id, lang, key_type, key_no, key_name, upd_date,is_comm_js_use, use_web, use_android, cre_date, site_type, version_info, basic_key_name) values(sqalang_id.nextval, 'en','','','',to_char(sysdate,'yyyymmddhh24miss'),'N','Y','N',to_char(sysdate,'yyyymmddhh24miss'),'','',''); </v>
      </c>
      <c r="AG2" s="15" t="str">
        <f>"update talang set key_name = '"&amp;G2&amp;"', basic_key_name = '"&amp;G2&amp;"',site_type = '"&amp;O2&amp;"', version_info = '"&amp;P2&amp;"',  upd_date =to_char(sysdate,'yyyymmddhh24miss')  where lang = 'en' and key_type =  '"&amp;M2&amp;"' and key_no =  '"&amp;N2&amp;"' ; "</f>
        <v xml:space="preserve">update talang set key_name = '', basic_key_name = '',site_type = '', version_info = '',  upd_date =to_char(sysdate,'yyyymmddhh24miss')  where lang = 'en' and key_type =  '' and key_no =  '' ; </v>
      </c>
      <c r="AH2" s="15" t="str">
        <f>" insert into talang(lang_id, lang, key_type, key_no, key_name, upd_date,is_comm_js_use, use_web, use_android, cre_date, site_type, version_info, basic_key_name) values(sqalang_id.nextval, 'cn','"&amp;M2&amp;"','"&amp;N2&amp;"','"&amp;H2&amp;"',to_char(sysdate,'yyyymmddhh24miss'),'N','Y','N',to_char(sysdate,'yyyymmddhh24miss'),'"&amp;O2&amp;"','"&amp;P2&amp;"','"&amp;H2&amp;"'); "</f>
        <v xml:space="preserve"> insert into talang(lang_id, lang, key_type, key_no, key_name, upd_date,is_comm_js_use, use_web, use_android, cre_date, site_type, version_info, basic_key_name) values(sqalang_id.nextval, 'cn','','','',to_char(sysdate,'yyyymmddhh24miss'),'N','Y','N',to_char(sysdate,'yyyymmddhh24miss'),'','',''); </v>
      </c>
      <c r="AI2" s="15" t="str">
        <f>"update talang set key_name = '"&amp;H2&amp;"', basic_key_name = '"&amp;H2&amp;"',site_type = '"&amp;O2&amp;"', version_info = '"&amp;P2&amp;"',  upd_date =to_char(sysdate,'yyyymmddhh24miss')  where lang = 'cn' and key_type =  '"&amp;M2&amp;"' and key_no =  '"&amp;N2&amp;"' ; "</f>
        <v xml:space="preserve">update talang set key_name = '', basic_key_name = '',site_type = '', version_info = '',  upd_date =to_char(sysdate,'yyyymmddhh24miss')  where lang = 'cn' and key_type =  '' and key_no =  '' ; </v>
      </c>
      <c r="AJ2" t="s">
        <v>33</v>
      </c>
      <c r="AK2" s="15" t="str">
        <f>Z2&amp;" values(next value for sqapglinkedfunc_id, "&amp;Y2&amp;", "&amp;X2&amp;", '"&amp;C2&amp;"' , '"&amp;E2&amp;"','"&amp;M2&amp;"', '"&amp;N2&amp;"','"&amp;I2&amp;"','"&amp;J2&amp;"','"&amp;L2&amp;"','"&amp;O2&amp;"','"&amp;P2&amp;"','"&amp;M2&amp;"', '"&amp;N2&amp;"', CONVERT(CHAR(8),GETDATE(),112)+REPLACE(CONVERT(CHAR(8),GETDATE(),108),':',''),CONVERT(CHAR(8),GETDATE(),112)+REPLACE(CONVERT(CHAR(8),GETDATE(),108),':','') ); "</f>
        <v xml:space="preserve"> insert into tapglinkedfunc(pglinkedfunc_id, page_id, linkedfunc_id, file_name, linkedfunc_method, key_type, key_no, ord_no, is_use, linkedfunc_loc, site_type, version_info, basic_key_type, basic_key_no, cre_date, upd_date )   values(next value for sqapglinkedfunc_id,   (select page_id from tapage where file_name = '') ,   (select linkedfunc_id from talinkedfunc where linkedfunc_no = '') , '' , '','', '','','','','','','', '', CONVERT(CHAR(8),GETDATE(),112)+REPLACE(CONVERT(CHAR(8),GETDATE(),108),':',''),CONVERT(CHAR(8),GETDATE(),112)+REPLACE(CONVERT(CHAR(8),GETDATE(),108),':','') ); </v>
      </c>
      <c r="AL2" s="15" t="str">
        <f>" update tapglinkedfunc set key_type = '"&amp;M2&amp;"', key_no='"&amp;N2&amp;"', ord_no='"&amp;I2&amp;"', is_use ='"&amp;J2&amp;"', site_type='"&amp;O2&amp;"', version_info='"&amp;P2&amp;"', basic_key_type='"&amp;M2&amp;"', basic_key_no = '"&amp;N2&amp;"', upd_date=CONVERT(CHAR(8),GETDATE(),112)+REPLACE(CONVERT(CHAR(8),GETDATE(),108),':','') where page_id ="&amp;Y2&amp;"  and linkedfunc_id = "&amp;X2&amp;"; "</f>
        <v xml:space="preserve"> update tapglinkedfunc set key_type = '', key_no='', ord_no='', is_use ='', site_type='', version_info='', basic_key_type='', basic_key_no = '', upd_date=CONVERT(CHAR(8),GETDATE(),112)+REPLACE(CONVERT(CHAR(8),GETDATE(),108),':','') where page_id =  (select page_id from tapage where file_name = '')   and linkedfunc_id =   (select linkedfunc_id from talinkedfunc where linkedfunc_no = '') ; </v>
      </c>
      <c r="AM2" s="15" t="str">
        <f>" insert into talang(lang_id, lang, key_type, key_no, key_name, upd_date,is_comm_js_use, use_web, use_android, cre_date, site_type, version_info, basic_key_name) values(next value for sqalang_id, 'ko','"&amp;M2&amp;"','"&amp;N2&amp;"','"&amp;F2&amp;"',CONVERT(CHAR(8),GETDATE(),112)+REPLACE(CONVERT(CHAR(8),GETDATE(),108),':',''),'N','Y','N',CONVERT(CHAR(8),GETDATE(),112)+REPLACE(CONVERT(CHAR(8),GETDATE(),108),':',''),'"&amp;O2&amp;"','"&amp;P2&amp;"','"&amp;F2&amp;"'); "</f>
        <v xml:space="preserve"> insert into talang(lang_id, lang, key_type, key_no, key_name, upd_date,is_comm_js_use, use_web, use_android, cre_date, site_type, version_info, basic_key_name) values(next value for sqalang_id, 'ko','','','',CONVERT(CHAR(8),GETDATE(),112)+REPLACE(CONVERT(CHAR(8),GETDATE(),108),':',''),'N','Y','N',CONVERT(CHAR(8),GETDATE(),112)+REPLACE(CONVERT(CHAR(8),GETDATE(),108),':',''),'','',''); </v>
      </c>
      <c r="AN2" s="15" t="str">
        <f>"update talang set key_name = '"&amp;F2&amp;"', basic_key_name = '"&amp;F2&amp;"',site_type = '"&amp;O2&amp;"', version_info = '"&amp;P2&amp;"',  upd_date =CONVERT(CHAR(8),GETDATE(),112)+REPLACE(CONVERT(CHAR(8),GETDATE(),108),':','') where lang = 'ko' and key_type =  '"&amp;M2&amp;"' and key_no =  '"&amp;N2&amp;"' ; "</f>
        <v xml:space="preserve">update talang set key_name = '', basic_key_name = '',site_type = '', version_info = '',  upd_date =CONVERT(CHAR(8),GETDATE(),112)+REPLACE(CONVERT(CHAR(8),GETDATE(),108),':','') where lang = 'ko' and key_type =  '' and key_no =  '' ; </v>
      </c>
      <c r="AO2" s="15" t="str">
        <f>" insert into talang(lang_id, lang, key_type, key_no, key_name, upd_date,is_comm_js_use, use_web, use_android, cre_date, site_type, version_info, basic_key_name) values(next value for sqalang_id, 'en','"&amp;M2&amp;"','"&amp;N2&amp;"','"&amp;G2&amp;"',CONVERT(CHAR(8),GETDATE(),112)+REPLACE(CONVERT(CHAR(8),GETDATE(),108),':',''),'N','Y','N',CONVERT(CHAR(8),GETDATE(),112)+REPLACE(CONVERT(CHAR(8),GETDATE(),108),':',''),'"&amp;O2&amp;"','"&amp;P2&amp;"','"&amp;G2&amp;"'); "</f>
        <v xml:space="preserve"> insert into talang(lang_id, lang, key_type, key_no, key_name, upd_date,is_comm_js_use, use_web, use_android, cre_date, site_type, version_info, basic_key_name) values(next value for sqalang_id, 'en','','','',CONVERT(CHAR(8),GETDATE(),112)+REPLACE(CONVERT(CHAR(8),GETDATE(),108),':',''),'N','Y','N',CONVERT(CHAR(8),GETDATE(),112)+REPLACE(CONVERT(CHAR(8),GETDATE(),108),':',''),'','',''); </v>
      </c>
      <c r="AP2" s="15" t="str">
        <f>"update talang set key_name = '"&amp;G2&amp;"', basic_key_name = '"&amp;G2&amp;"',site_type = '"&amp;O2&amp;"', version_info = '"&amp;P2&amp;"',  upd_date =CONVERT(CHAR(8),GETDATE(),112)+REPLACE(CONVERT(CHAR(8),GETDATE(),108),':','') where lang = 'en' and key_type =  '"&amp;M2&amp;"' and key_no =  '"&amp;N2&amp;"' ; "</f>
        <v xml:space="preserve">update talang set key_name = '', basic_key_name = '',site_type = '', version_info = '',  upd_date =CONVERT(CHAR(8),GETDATE(),112)+REPLACE(CONVERT(CHAR(8),GETDATE(),108),':','') where lang = 'en' and key_type =  '' and key_no =  '' ; </v>
      </c>
      <c r="AQ2" s="15" t="str">
        <f>" insert into talang(lang_id, lang, key_type, key_no, key_name, upd_date,is_comm_js_use, use_web, use_android, cre_date, site_type, version_info, basic_key_name) values(next value for sqalang_id, 'cn','"&amp;M2&amp;"','"&amp;N2&amp;"','"&amp;H2&amp;"',CONVERT(CHAR(8),GETDATE(),112)+REPLACE(CONVERT(CHAR(8),GETDATE(),108),':',''),'N','Y','N',CONVERT(CHAR(8),GETDATE(),112)+REPLACE(CONVERT(CHAR(8),GETDATE(),108),':',''),'"&amp;O2&amp;"','"&amp;P2&amp;"','"&amp;H2&amp;"'); "</f>
        <v xml:space="preserve"> insert into talang(lang_id, lang, key_type, key_no, key_name, upd_date,is_comm_js_use, use_web, use_android, cre_date, site_type, version_info, basic_key_name) values(next value for sqalang_id, 'cn','','','',CONVERT(CHAR(8),GETDATE(),112)+REPLACE(CONVERT(CHAR(8),GETDATE(),108),':',''),'N','Y','N',CONVERT(CHAR(8),GETDATE(),112)+REPLACE(CONVERT(CHAR(8),GETDATE(),108),':',''),'','',''); </v>
      </c>
      <c r="AR2" s="15" t="str">
        <f>"update talang set key_name = '"&amp;H2&amp;"', basic_key_name = '"&amp;H2&amp;"',site_type = '"&amp;O2&amp;"', version_info = '"&amp;P2&amp;"',  upd_date =CONVERT(CHAR(8),GETDATE(),112)+REPLACE(CONVERT(CHAR(8),GETDATE(),108),':','') where lang = 'cn' and key_type =  '"&amp;M2&amp;"' and key_no =  '"&amp;N2&amp;"' ; "</f>
        <v xml:space="preserve">update talang set key_name = '', basic_key_name = '',site_type = '', version_info = '',  upd_date =CONVERT(CHAR(8),GETDATE(),112)+REPLACE(CONVERT(CHAR(8),GETDATE(),108),':','') where lang = 'cn' and key_type =  '' and key_no =  '' ; </v>
      </c>
      <c r="AS2" t="s">
        <v>33</v>
      </c>
      <c r="AT2" s="15" t="str">
        <f>" insert into talinkedfunc(linkedfunc_id, linkedfunc_no, linkedfunc_method, description, is_use) values(sqalinkedfunc_id.nextval, '"&amp;D2&amp;"', '"&amp;E2&amp;"', '"&amp;F2&amp;"', 'N'); "</f>
        <v xml:space="preserve"> insert into talinkedfunc(linkedfunc_id, linkedfunc_no, linkedfunc_method, description, is_use) values(sqalinkedfunc_id.nextval, '', '', '', 'N'); </v>
      </c>
      <c r="AU2" s="15" t="str">
        <f>Z2&amp;" values(sqapglinkedfunc_id.nextval, "&amp;Y2&amp;", "&amp;X2&amp;", '"&amp;C2&amp;"' , '"&amp;E2&amp;"','"&amp;M2&amp;"', '"&amp;N2&amp;"','"&amp;I2&amp;"','N','"&amp;L2&amp;"','"&amp;O2&amp;"','"&amp;P2&amp;"','"&amp;M2&amp;"', '"&amp;N2&amp;"',to_char(sysdate,'yyyymmddhh24miss'),to_char(sysdate,'yyyymmddhh24miss') ); "</f>
        <v xml:space="preserve"> insert into tapglinkedfunc(pglinkedfunc_id, page_id, linkedfunc_id, file_name, linkedfunc_method, key_type, key_no, ord_no, is_use, linkedfunc_loc, site_type, version_info, basic_key_type, basic_key_no, cre_date, upd_date )   values(sqapglinkedfunc_id.nextval,   (select page_id from tapage where file_name = '') ,   (select linkedfunc_id from talinkedfunc where linkedfunc_no = '') , '' , '','', '','','N','','','','', '',to_char(sysdate,'yyyymmddhh24miss'),to_char(sysdate,'yyyymmddhh24miss') ); </v>
      </c>
      <c r="AV2" s="14" t="str">
        <f>" insert into talinkedfunc(linkedfunc_id, linkedfunc_no, linkedfunc_method, description, is_use) values(next value for sqalinkedfunc_id, '"&amp;D2&amp;"', '"&amp;E2&amp;"', '"&amp;F2&amp;"', 'N'); "</f>
        <v xml:space="preserve"> insert into talinkedfunc(linkedfunc_id, linkedfunc_no, linkedfunc_method, description, is_use) values(next value for sqalinkedfunc_id, '', '', '', 'N'); </v>
      </c>
      <c r="AW2" s="14" t="str">
        <f>Z2&amp;" values(next value for sqapglinkedfunc_id, "&amp;Y2&amp;", "&amp;X2&amp;", '"&amp;C2&amp;"' , '"&amp;E2&amp;"','"&amp;M2&amp;"', '"&amp;N2&amp;"','"&amp;I2&amp;"','N','"&amp;L2&amp;"','"&amp;O2&amp;"','"&amp;P2&amp;"','"&amp;M2&amp;"', '"&amp;N2&amp;"', CONVERT(CHAR(8),GETDATE(),112)+REPLACE(CONVERT(CHAR(8),GETDATE(),108),':',''),CONVERT(CHAR(8),GETDATE(),112)+REPLACE(CONVERT(CHAR(8),GETDATE(),108),':','') ); "</f>
        <v xml:space="preserve"> insert into tapglinkedfunc(pglinkedfunc_id, page_id, linkedfunc_id, file_name, linkedfunc_method, key_type, key_no, ord_no, is_use, linkedfunc_loc, site_type, version_info, basic_key_type, basic_key_no, cre_date, upd_date )   values(next value for sqapglinkedfunc_id,   (select page_id from tapage where file_name = '') ,   (select linkedfunc_id from talinkedfunc where linkedfunc_no = '') , '' , '','', '','','N','','','','', '', CONVERT(CHAR(8),GETDATE(),112)+REPLACE(CONVERT(CHAR(8),GETDATE(),108),':',''),CONVERT(CHAR(8),GETDATE(),112)+REPLACE(CONVERT(CHAR(8),GETDATE(),108),':','') ); </v>
      </c>
      <c r="AX2" t="s">
        <v>33</v>
      </c>
      <c r="AY2" s="14" t="str">
        <f>" insert into talinkedfunc(linkedfunc_id, linkedfunc_no, linkedfunc_method, description, is_use) values(sqalinkedfunc_id.nextval, '"&amp;D2&amp;"', '"&amp;E2&amp;"', '"&amp;F2&amp;"', 'Y'); "</f>
        <v xml:space="preserve"> insert into talinkedfunc(linkedfunc_id, linkedfunc_no, linkedfunc_method, description, is_use) values(sqalinkedfunc_id.nextval, '', '', '', 'Y'); </v>
      </c>
      <c r="AZ2" s="14" t="str">
        <f>Z2&amp;" values(sqapglinkedfunc_id.nextval, "&amp;Y2&amp;", "&amp;X2&amp;", '"&amp;C2&amp;"' , '"&amp;E2&amp;"','"&amp;M2&amp;"', '"&amp;N2&amp;"','"&amp;I2&amp;"','Y','"&amp;L2&amp;"','"&amp;O2&amp;"','"&amp;P2&amp;"','"&amp;M2&amp;"', '"&amp;N2&amp;"',to_char(sysdate,'yyyymmddhh24miss'),to_char(sysdate,'yyyymmddhh24miss') ); "</f>
        <v xml:space="preserve"> insert into tapglinkedfunc(pglinkedfunc_id, page_id, linkedfunc_id, file_name, linkedfunc_method, key_type, key_no, ord_no, is_use, linkedfunc_loc, site_type, version_info, basic_key_type, basic_key_no, cre_date, upd_date )   values(sqapglinkedfunc_id.nextval,   (select page_id from tapage where file_name = '') ,   (select linkedfunc_id from talinkedfunc where linkedfunc_no = '') , '' , '','', '','','Y','','','','', '',to_char(sysdate,'yyyymmddhh24miss'),to_char(sysdate,'yyyymmddhh24miss') ); </v>
      </c>
      <c r="BA2" s="14" t="str">
        <f>" update tapglinkedfunc set key_type = '"&amp;M2&amp;"', key_no='"&amp;N2&amp;"', ord_no='"&amp;I2&amp;"', is_use ='"&amp;J2&amp;"', site_type='"&amp;O2&amp;"', version_info='"&amp;P2&amp;"', basic_key_type='"&amp;M2&amp;"', basic_key_no = '"&amp;N2&amp;"', upd_date=to_char(sysdate,'yyyymmddhh24miss') where page_id ="&amp;Y2&amp;"  and linkedfunc_id = "&amp;X2&amp;"; "</f>
        <v xml:space="preserve"> update tapglinkedfunc set key_type = '', key_no='', ord_no='', is_use ='', site_type='', version_info='', basic_key_type='', basic_key_no = '', upd_date=to_char(sysdate,'yyyymmddhh24miss') where page_id =  (select page_id from tapage where file_name = '')   and linkedfunc_id =   (select linkedfunc_id from talinkedfunc where linkedfunc_no = '') ; </v>
      </c>
      <c r="BB2" s="14" t="str">
        <f>" insert into talinkedfunc(linkedfunc_id, linkedfunc_no, linkedfunc_method, description, is_use) values(next value for sqalinkedfunc_id, '"&amp;D2&amp;"', '"&amp;E2&amp;"', '"&amp;F2&amp;"', 'Y'); "</f>
        <v xml:space="preserve"> insert into talinkedfunc(linkedfunc_id, linkedfunc_no, linkedfunc_method, description, is_use) values(next value for sqalinkedfunc_id, '', '', '', 'Y'); </v>
      </c>
      <c r="BC2" s="14" t="str">
        <f>Z2&amp;" values(next value for sqapglinkedfunc_id, "&amp;Y2&amp;", "&amp;X2&amp;", '"&amp;C2&amp;"' , '"&amp;E2&amp;"','"&amp;M2&amp;"', '"&amp;N2&amp;"','"&amp;I2&amp;"','Y','"&amp;L2&amp;"','"&amp;O2&amp;"','"&amp;P2&amp;"','"&amp;M2&amp;"', '"&amp;N2&amp;"', CONVERT(CHAR(8),GETDATE(),112)+REPLACE(CONVERT(CHAR(8),GETDATE(),108),':',''),CONVERT(CHAR(8),GETDATE(),112)+REPLACE(CONVERT(CHAR(8),GETDATE(),108),':','') ); "</f>
        <v xml:space="preserve"> insert into tapglinkedfunc(pglinkedfunc_id, page_id, linkedfunc_id, file_name, linkedfunc_method, key_type, key_no, ord_no, is_use, linkedfunc_loc, site_type, version_info, basic_key_type, basic_key_no, cre_date, upd_date )   values(next value for sqapglinkedfunc_id,   (select page_id from tapage where file_name = '') ,   (select linkedfunc_id from talinkedfunc where linkedfunc_no = '') , '' , '','', '','','Y','','','','', '', CONVERT(CHAR(8),GETDATE(),112)+REPLACE(CONVERT(CHAR(8),GETDATE(),108),':',''),CONVERT(CHAR(8),GETDATE(),112)+REPLACE(CONVERT(CHAR(8),GETDATE(),108),':','') ); </v>
      </c>
      <c r="BD2" s="13" t="str">
        <f>" update tapglinkedfunc set key_type = '"&amp;M2&amp;"', key_no='"&amp;N2&amp;"', ord_no='"&amp;I2&amp;"', is_use ='"&amp;J2&amp;"', site_type='"&amp;O2&amp;"', version_info='"&amp;P2&amp;"', basic_key_type='"&amp;M2&amp;"', basic_key_no = '"&amp;N2&amp;"', upd_date=CONVERT(CHAR(8),GETDATE(),112)+REPLACE(CONVERT(CHAR(8),GETDATE(),108),':','') where page_id ="&amp;Y2&amp;"  and linkedfunc_id = "&amp;X2&amp;"; "</f>
        <v xml:space="preserve"> update tapglinkedfunc set key_type = '', key_no='', ord_no='', is_use ='', site_type='', version_info='', basic_key_type='', basic_key_no = '', upd_date=CONVERT(CHAR(8),GETDATE(),112)+REPLACE(CONVERT(CHAR(8),GETDATE(),108),':','') where page_id =  (select page_id from tapage where file_name = '')   and linkedfunc_id =   (select linkedfunc_id from talinkedfunc where linkedfunc_no = '') ; </v>
      </c>
      <c r="BE2" t="s">
        <v>33</v>
      </c>
      <c r="BF2" t="s">
        <v>33</v>
      </c>
    </row>
  </sheetData>
  <autoFilter ref="A1:Y1" xr:uid="{00000000-0009-0000-0000-000006000000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orkbookViewId="0">
      <selection activeCell="F23" sqref="F23"/>
    </sheetView>
  </sheetViews>
  <sheetFormatPr defaultColWidth="8.25" defaultRowHeight="16.5" x14ac:dyDescent="0.3"/>
  <cols>
    <col min="1" max="2" width="8.25" style="1"/>
    <col min="3" max="3" width="18.75" style="1" customWidth="1"/>
    <col min="4" max="4" width="13.75" style="1" bestFit="1" customWidth="1"/>
    <col min="5" max="5" width="17.25" style="1" customWidth="1"/>
    <col min="6" max="6" width="64.25" style="1" customWidth="1"/>
    <col min="7" max="7" width="14.25" style="1" bestFit="1" customWidth="1"/>
    <col min="8" max="8" width="16.5" style="1" bestFit="1" customWidth="1"/>
    <col min="9" max="9" width="11.375" style="1" customWidth="1"/>
    <col min="10" max="10" width="33.25" style="1" customWidth="1"/>
    <col min="11" max="11" width="11.625" style="1" bestFit="1" customWidth="1"/>
    <col min="12" max="12" width="13.625" style="1" bestFit="1" customWidth="1"/>
    <col min="13" max="13" width="15.75" style="1" bestFit="1" customWidth="1"/>
    <col min="14" max="16384" width="8.25" style="1"/>
  </cols>
  <sheetData>
    <row r="1" spans="1:13" ht="33" x14ac:dyDescent="0.3">
      <c r="A1" s="8" t="s">
        <v>24</v>
      </c>
      <c r="B1" s="8" t="s">
        <v>25</v>
      </c>
      <c r="C1" s="9" t="s">
        <v>26</v>
      </c>
      <c r="D1" s="9" t="s">
        <v>27</v>
      </c>
      <c r="E1" s="9" t="s">
        <v>28</v>
      </c>
      <c r="F1" s="4" t="s">
        <v>15</v>
      </c>
      <c r="G1" s="10" t="s">
        <v>14</v>
      </c>
      <c r="H1" s="3" t="s">
        <v>13</v>
      </c>
      <c r="I1" s="3" t="s">
        <v>12</v>
      </c>
      <c r="J1" s="3" t="s">
        <v>11</v>
      </c>
      <c r="K1" s="2" t="s">
        <v>10</v>
      </c>
      <c r="L1" s="2" t="s">
        <v>9</v>
      </c>
      <c r="M1" s="2" t="s">
        <v>8</v>
      </c>
    </row>
  </sheetData>
  <autoFilter ref="A1:M1" xr:uid="{00000000-0009-0000-0000-000007000000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"/>
  <sheetViews>
    <sheetView zoomScale="85" zoomScaleNormal="85" workbookViewId="0">
      <selection activeCell="G15" sqref="G15"/>
    </sheetView>
  </sheetViews>
  <sheetFormatPr defaultColWidth="8.25" defaultRowHeight="16.5" x14ac:dyDescent="0.3"/>
  <cols>
    <col min="1" max="1" width="7.75" style="1" bestFit="1" customWidth="1"/>
    <col min="2" max="2" width="11.625" style="1" bestFit="1" customWidth="1"/>
    <col min="3" max="3" width="13.375" style="1" bestFit="1" customWidth="1"/>
    <col min="4" max="4" width="12" style="1" bestFit="1" customWidth="1"/>
    <col min="5" max="5" width="17.375" style="1" bestFit="1" customWidth="1"/>
    <col min="6" max="6" width="11.625" style="1" bestFit="1" customWidth="1"/>
    <col min="7" max="7" width="9.625" style="1" bestFit="1" customWidth="1"/>
    <col min="8" max="8" width="34.25" style="1" bestFit="1" customWidth="1"/>
    <col min="9" max="10" width="14.5" style="1" bestFit="1" customWidth="1"/>
    <col min="11" max="11" width="16.625" style="1" bestFit="1" customWidth="1"/>
    <col min="12" max="12" width="12.25" style="1" bestFit="1" customWidth="1"/>
    <col min="13" max="13" width="37.75" style="1" bestFit="1" customWidth="1"/>
    <col min="14" max="14" width="11.625" style="1" bestFit="1" customWidth="1"/>
    <col min="15" max="15" width="13.75" style="1" bestFit="1" customWidth="1"/>
    <col min="16" max="16" width="15.875" style="1" bestFit="1" customWidth="1"/>
    <col min="17" max="16384" width="8.25" style="1"/>
  </cols>
  <sheetData>
    <row r="1" spans="1:16" ht="33" x14ac:dyDescent="0.3">
      <c r="A1" s="7" t="s">
        <v>23</v>
      </c>
      <c r="B1" s="7" t="s">
        <v>22</v>
      </c>
      <c r="C1" s="7" t="s">
        <v>21</v>
      </c>
      <c r="D1" s="7" t="s">
        <v>20</v>
      </c>
      <c r="E1" s="7" t="s">
        <v>19</v>
      </c>
      <c r="F1" s="7" t="s">
        <v>18</v>
      </c>
      <c r="G1" s="7" t="s">
        <v>17</v>
      </c>
      <c r="H1" s="6" t="s">
        <v>16</v>
      </c>
      <c r="I1" s="5" t="s">
        <v>15</v>
      </c>
      <c r="J1" s="4" t="s">
        <v>14</v>
      </c>
      <c r="K1" s="3" t="s">
        <v>13</v>
      </c>
      <c r="L1" s="3" t="s">
        <v>12</v>
      </c>
      <c r="M1" s="3" t="s">
        <v>11</v>
      </c>
      <c r="N1" s="2" t="s">
        <v>10</v>
      </c>
      <c r="O1" s="2" t="s">
        <v>9</v>
      </c>
      <c r="P1" s="2" t="s">
        <v>8</v>
      </c>
    </row>
  </sheetData>
  <autoFilter ref="A1:P1" xr:uid="{00000000-0009-0000-0000-000008000000}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0. 변경이력</vt:lpstr>
      <vt:lpstr>1. 화면(Page)</vt:lpstr>
      <vt:lpstr>2. 화면별TAB화면</vt:lpstr>
      <vt:lpstr>3. 화면(Page)별 Button</vt:lpstr>
      <vt:lpstr>4. 화면(Page)별 Field</vt:lpstr>
      <vt:lpstr>5. 화면(Page)별 Grid</vt:lpstr>
      <vt:lpstr>6. 화면(Pag별 Linked</vt:lpstr>
      <vt:lpstr>7.화면 단위테스트</vt:lpstr>
      <vt:lpstr>8.화면버튼 단위테스트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HN-0391</dc:creator>
  <cp:lastModifiedBy>정 래현</cp:lastModifiedBy>
  <dcterms:created xsi:type="dcterms:W3CDTF">2019-05-08T01:10:57Z</dcterms:created>
  <dcterms:modified xsi:type="dcterms:W3CDTF">2025-05-02T01:39:14Z</dcterms:modified>
</cp:coreProperties>
</file>