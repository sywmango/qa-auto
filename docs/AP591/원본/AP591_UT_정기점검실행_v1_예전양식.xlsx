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ream_Doc\1.ProgramSpec\X.Version\3.0\K.Testing\Dream 3.0\5. 작업관리\2. 정기점검작업\"/>
    </mc:Choice>
  </mc:AlternateContent>
  <xr:revisionPtr revIDLastSave="0" documentId="13_ncr:1_{FB69A972-6E58-48B5-BC96-7A78D246B2C0}" xr6:coauthVersionLast="47" xr6:coauthVersionMax="47" xr10:uidLastSave="{00000000-0000-0000-0000-000000000000}"/>
  <bookViews>
    <workbookView xWindow="-120" yWindow="-120" windowWidth="29040" windowHeight="15720" xr2:uid="{1228F46D-B175-4FF9-A305-E017AA26E2E9}"/>
  </bookViews>
  <sheets>
    <sheet name="테스트 케이스" sheetId="1" r:id="rId1"/>
    <sheet name="테스트 실행 로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2" l="1"/>
  <c r="E55" i="2"/>
  <c r="F55" i="2"/>
  <c r="D56" i="2"/>
  <c r="E56" i="2"/>
  <c r="F56" i="2"/>
  <c r="D57" i="2"/>
  <c r="E57" i="2"/>
  <c r="F57" i="2"/>
  <c r="D58" i="2"/>
  <c r="E58" i="2"/>
  <c r="F58" i="2"/>
  <c r="D59" i="2"/>
  <c r="E59" i="2"/>
  <c r="F59" i="2"/>
  <c r="D60" i="2"/>
  <c r="E60" i="2"/>
  <c r="F60" i="2"/>
  <c r="D61" i="2"/>
  <c r="E61" i="2"/>
  <c r="F61" i="2"/>
  <c r="D62" i="2"/>
  <c r="E62" i="2"/>
  <c r="F62" i="2"/>
  <c r="D63" i="2"/>
  <c r="E63" i="2"/>
  <c r="F63" i="2"/>
  <c r="D64" i="2"/>
  <c r="E64" i="2"/>
  <c r="F64" i="2"/>
  <c r="D65" i="2"/>
  <c r="E65" i="2"/>
  <c r="F65" i="2"/>
  <c r="D66" i="2"/>
  <c r="E66" i="2"/>
  <c r="F66" i="2"/>
  <c r="D67" i="2"/>
  <c r="E67" i="2"/>
  <c r="F67" i="2"/>
  <c r="D68" i="2"/>
  <c r="E68" i="2"/>
  <c r="F68" i="2"/>
  <c r="D69" i="2"/>
  <c r="E69" i="2"/>
  <c r="F69" i="2"/>
  <c r="D70" i="2"/>
  <c r="E70" i="2"/>
  <c r="F70" i="2"/>
  <c r="D71" i="2"/>
  <c r="E71" i="2"/>
  <c r="F71" i="2"/>
  <c r="I37" i="1" a="1"/>
  <c r="I37" i="1" s="1"/>
  <c r="F81" i="2"/>
  <c r="E81" i="2"/>
  <c r="D81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D47" i="2"/>
  <c r="E47" i="2"/>
  <c r="F47" i="2"/>
  <c r="D48" i="2"/>
  <c r="E48" i="2"/>
  <c r="F48" i="2"/>
  <c r="D49" i="2"/>
  <c r="E49" i="2"/>
  <c r="F49" i="2"/>
  <c r="D50" i="2"/>
  <c r="E50" i="2"/>
  <c r="F50" i="2"/>
  <c r="D51" i="2"/>
  <c r="E51" i="2"/>
  <c r="F51" i="2"/>
  <c r="D52" i="2"/>
  <c r="E52" i="2"/>
  <c r="F52" i="2"/>
  <c r="D53" i="2"/>
  <c r="E53" i="2"/>
  <c r="F53" i="2"/>
  <c r="D54" i="2"/>
  <c r="E54" i="2"/>
  <c r="F54" i="2"/>
  <c r="F6" i="2"/>
  <c r="E6" i="2"/>
  <c r="D6" i="2"/>
  <c r="I61" i="1" a="1"/>
  <c r="I61" i="1" s="1"/>
  <c r="B81" i="2"/>
  <c r="A81" i="2"/>
  <c r="G59" i="1" a="1"/>
  <c r="G59" i="1" s="1"/>
  <c r="H57" i="1" a="1"/>
  <c r="H57" i="1" s="1"/>
  <c r="I57" i="1" a="1"/>
  <c r="I57" i="1" s="1"/>
  <c r="G58" i="1" a="1"/>
  <c r="G58" i="1" s="1"/>
  <c r="H58" i="1" a="1"/>
  <c r="H58" i="1" s="1"/>
  <c r="H61" i="1" a="1"/>
  <c r="H61" i="1" s="1"/>
  <c r="H62" i="1" a="1"/>
  <c r="H62" i="1" s="1"/>
  <c r="H65" i="1" a="1"/>
  <c r="H65" i="1" s="1"/>
  <c r="I65" i="1" a="1"/>
  <c r="I65" i="1" s="1"/>
  <c r="H47" i="1" a="1"/>
  <c r="H47" i="1" s="1"/>
  <c r="I47" i="1" a="1"/>
  <c r="I47" i="1" s="1"/>
  <c r="H49" i="1" a="1"/>
  <c r="H49" i="1" s="1"/>
  <c r="I49" i="1" a="1"/>
  <c r="I49" i="1" s="1"/>
  <c r="G50" i="1" a="1"/>
  <c r="G50" i="1" s="1"/>
  <c r="H50" i="1" a="1"/>
  <c r="H50" i="1" s="1"/>
  <c r="H53" i="1" a="1"/>
  <c r="H53" i="1" s="1"/>
  <c r="I53" i="1" a="1"/>
  <c r="I53" i="1" s="1"/>
  <c r="G54" i="1" a="1"/>
  <c r="G54" i="1" s="1"/>
  <c r="H54" i="1" a="1"/>
  <c r="H54" i="1" s="1"/>
  <c r="H35" i="1" a="1"/>
  <c r="H35" i="1" s="1"/>
  <c r="I35" i="1" a="1"/>
  <c r="I35" i="1" s="1"/>
  <c r="G36" i="1" a="1"/>
  <c r="G36" i="1" s="1"/>
  <c r="H36" i="1" a="1"/>
  <c r="H36" i="1" s="1"/>
  <c r="H39" i="1" a="1"/>
  <c r="H39" i="1" s="1"/>
  <c r="I39" i="1" a="1"/>
  <c r="I39" i="1" s="1"/>
  <c r="G40" i="1" a="1"/>
  <c r="G40" i="1" s="1"/>
  <c r="H40" i="1" a="1"/>
  <c r="H40" i="1" s="1"/>
  <c r="H43" i="1" a="1"/>
  <c r="H43" i="1" s="1"/>
  <c r="I43" i="1" a="1"/>
  <c r="I43" i="1" s="1"/>
  <c r="G44" i="1" a="1"/>
  <c r="G44" i="1" s="1"/>
  <c r="H44" i="1" a="1"/>
  <c r="H44" i="1" s="1"/>
  <c r="H67" i="1" a="1"/>
  <c r="H67" i="1" s="1"/>
  <c r="I67" i="1" a="1"/>
  <c r="I67" i="1" s="1"/>
  <c r="G32" i="1" a="1"/>
  <c r="G32" i="1" s="1"/>
  <c r="H32" i="1" a="1"/>
  <c r="H32" i="1" s="1"/>
  <c r="A2" i="2"/>
  <c r="H82" i="1" a="1"/>
  <c r="H82" i="1" s="1"/>
  <c r="I82" i="1" a="1"/>
  <c r="I82" i="1" s="1"/>
  <c r="H83" i="1" a="1"/>
  <c r="H83" i="1" s="1"/>
  <c r="I83" i="1" a="1"/>
  <c r="I83" i="1" s="1"/>
  <c r="G82" i="1" a="1"/>
  <c r="G82" i="1" s="1"/>
  <c r="G83" i="1" a="1"/>
  <c r="G83" i="1" s="1"/>
  <c r="G81" i="1" a="1"/>
  <c r="G81" i="1" s="1"/>
  <c r="G7" i="1" a="1"/>
  <c r="G7" i="1" s="1"/>
  <c r="G8" i="1" a="1"/>
  <c r="G8" i="1" s="1"/>
  <c r="G9" i="1" a="1"/>
  <c r="G9" i="1" s="1"/>
  <c r="G18" i="1" a="1"/>
  <c r="G18" i="1" s="1"/>
  <c r="G19" i="1" a="1"/>
  <c r="G19" i="1" s="1"/>
  <c r="G26" i="1" a="1"/>
  <c r="G26" i="1" s="1"/>
  <c r="G27" i="1" a="1"/>
  <c r="G27" i="1" s="1"/>
  <c r="G28" i="1" a="1"/>
  <c r="G28" i="1" s="1"/>
  <c r="G29" i="1" a="1"/>
  <c r="G29" i="1" s="1"/>
  <c r="I9" i="1" a="1"/>
  <c r="I9" i="1" s="1"/>
  <c r="H10" i="1" a="1"/>
  <c r="H10" i="1" s="1"/>
  <c r="I10" i="1" a="1"/>
  <c r="I10" i="1" s="1"/>
  <c r="H11" i="1" a="1"/>
  <c r="H11" i="1" s="1"/>
  <c r="I15" i="1" a="1"/>
  <c r="I15" i="1" s="1"/>
  <c r="H16" i="1" a="1"/>
  <c r="H16" i="1" s="1"/>
  <c r="I16" i="1" a="1"/>
  <c r="I16" i="1" s="1"/>
  <c r="H17" i="1" a="1"/>
  <c r="H17" i="1" s="1"/>
  <c r="I19" i="1" a="1"/>
  <c r="I19" i="1" s="1"/>
  <c r="I23" i="1" a="1"/>
  <c r="I23" i="1" s="1"/>
  <c r="H24" i="1" a="1"/>
  <c r="H24" i="1" s="1"/>
  <c r="I24" i="1" a="1"/>
  <c r="I24" i="1" s="1"/>
  <c r="H25" i="1" a="1"/>
  <c r="H25" i="1" s="1"/>
  <c r="I29" i="1" a="1"/>
  <c r="I29" i="1" s="1"/>
  <c r="H30" i="1" a="1"/>
  <c r="H30" i="1" s="1"/>
  <c r="I30" i="1" a="1"/>
  <c r="I30" i="1" s="1"/>
  <c r="H31" i="1" a="1"/>
  <c r="H31" i="1" s="1"/>
  <c r="H81" i="1" a="1"/>
  <c r="H81" i="1" s="1"/>
  <c r="I81" i="1" a="1"/>
  <c r="I81" i="1" s="1"/>
  <c r="A2" i="1"/>
  <c r="G62" i="1" l="1" a="1"/>
  <c r="G62" i="1" s="1"/>
  <c r="I58" i="1" a="1"/>
  <c r="I58" i="1" s="1"/>
  <c r="H23" i="1" a="1"/>
  <c r="H23" i="1" s="1"/>
  <c r="H15" i="1" a="1"/>
  <c r="H15" i="1" s="1"/>
  <c r="H9" i="1" a="1"/>
  <c r="H9" i="1" s="1"/>
  <c r="G43" i="1" a="1"/>
  <c r="G43" i="1" s="1"/>
  <c r="G35" i="1" a="1"/>
  <c r="G35" i="1" s="1"/>
  <c r="G47" i="1" a="1"/>
  <c r="G47" i="1" s="1"/>
  <c r="G57" i="1" a="1"/>
  <c r="G57" i="1" s="1"/>
  <c r="I22" i="1" a="1"/>
  <c r="I22" i="1" s="1"/>
  <c r="I14" i="1" a="1"/>
  <c r="I14" i="1" s="1"/>
  <c r="G24" i="1" a="1"/>
  <c r="G24" i="1" s="1"/>
  <c r="I66" i="1" a="1"/>
  <c r="I66" i="1" s="1"/>
  <c r="I38" i="1" a="1"/>
  <c r="I38" i="1" s="1"/>
  <c r="I34" i="1" a="1"/>
  <c r="I34" i="1" s="1"/>
  <c r="I48" i="1" a="1"/>
  <c r="I48" i="1" s="1"/>
  <c r="I46" i="1" a="1"/>
  <c r="I46" i="1" s="1"/>
  <c r="I64" i="1" a="1"/>
  <c r="I64" i="1" s="1"/>
  <c r="I60" i="1" a="1"/>
  <c r="I60" i="1" s="1"/>
  <c r="H56" i="1" a="1"/>
  <c r="H56" i="1" s="1"/>
  <c r="H28" i="1" a="1"/>
  <c r="H28" i="1" s="1"/>
  <c r="H22" i="1" a="1"/>
  <c r="H22" i="1" s="1"/>
  <c r="H18" i="1" a="1"/>
  <c r="H18" i="1" s="1"/>
  <c r="H14" i="1" a="1"/>
  <c r="H14" i="1" s="1"/>
  <c r="H8" i="1" a="1"/>
  <c r="H8" i="1" s="1"/>
  <c r="G23" i="1" a="1"/>
  <c r="G23" i="1" s="1"/>
  <c r="G15" i="1" a="1"/>
  <c r="G15" i="1" s="1"/>
  <c r="H66" i="1" a="1"/>
  <c r="H66" i="1" s="1"/>
  <c r="H42" i="1" a="1"/>
  <c r="H42" i="1" s="1"/>
  <c r="H38" i="1" a="1"/>
  <c r="H38" i="1" s="1"/>
  <c r="H34" i="1" a="1"/>
  <c r="H34" i="1" s="1"/>
  <c r="H52" i="1" a="1"/>
  <c r="H52" i="1" s="1"/>
  <c r="H48" i="1" a="1"/>
  <c r="H48" i="1" s="1"/>
  <c r="H46" i="1" a="1"/>
  <c r="H46" i="1" s="1"/>
  <c r="H64" i="1" a="1"/>
  <c r="H64" i="1" s="1"/>
  <c r="H60" i="1" a="1"/>
  <c r="H60" i="1" s="1"/>
  <c r="I55" i="1" a="1"/>
  <c r="I55" i="1" s="1"/>
  <c r="I6" i="1" a="1"/>
  <c r="I6" i="1" s="1"/>
  <c r="I27" i="1" a="1"/>
  <c r="I27" i="1" s="1"/>
  <c r="I21" i="1" a="1"/>
  <c r="I21" i="1" s="1"/>
  <c r="I13" i="1" a="1"/>
  <c r="I13" i="1" s="1"/>
  <c r="I7" i="1" a="1"/>
  <c r="I7" i="1" s="1"/>
  <c r="G22" i="1" a="1"/>
  <c r="G22" i="1" s="1"/>
  <c r="G14" i="1" a="1"/>
  <c r="G14" i="1" s="1"/>
  <c r="G66" i="1" a="1"/>
  <c r="G66" i="1" s="1"/>
  <c r="G42" i="1" a="1"/>
  <c r="G42" i="1" s="1"/>
  <c r="G38" i="1" a="1"/>
  <c r="G38" i="1" s="1"/>
  <c r="G34" i="1" a="1"/>
  <c r="G34" i="1" s="1"/>
  <c r="G52" i="1" a="1"/>
  <c r="G52" i="1" s="1"/>
  <c r="G48" i="1" a="1"/>
  <c r="G48" i="1" s="1"/>
  <c r="G46" i="1" a="1"/>
  <c r="G46" i="1" s="1"/>
  <c r="G64" i="1" a="1"/>
  <c r="G64" i="1" s="1"/>
  <c r="G60" i="1" a="1"/>
  <c r="G60" i="1" s="1"/>
  <c r="H55" i="1" a="1"/>
  <c r="H55" i="1" s="1"/>
  <c r="G25" i="1" a="1"/>
  <c r="G25" i="1" s="1"/>
  <c r="G53" i="1" a="1"/>
  <c r="G53" i="1" s="1"/>
  <c r="I28" i="1" a="1"/>
  <c r="I28" i="1" s="1"/>
  <c r="G16" i="1" a="1"/>
  <c r="G16" i="1" s="1"/>
  <c r="I52" i="1" a="1"/>
  <c r="I52" i="1" s="1"/>
  <c r="H27" i="1" a="1"/>
  <c r="H27" i="1" s="1"/>
  <c r="H21" i="1" a="1"/>
  <c r="H21" i="1" s="1"/>
  <c r="H13" i="1" a="1"/>
  <c r="H13" i="1" s="1"/>
  <c r="H7" i="1" a="1"/>
  <c r="H7" i="1" s="1"/>
  <c r="G21" i="1" a="1"/>
  <c r="G21" i="1" s="1"/>
  <c r="G13" i="1" a="1"/>
  <c r="G13" i="1" s="1"/>
  <c r="I45" i="1" a="1"/>
  <c r="I45" i="1" s="1"/>
  <c r="I41" i="1" a="1"/>
  <c r="I41" i="1" s="1"/>
  <c r="I33" i="1" a="1"/>
  <c r="I33" i="1" s="1"/>
  <c r="I51" i="1" a="1"/>
  <c r="I51" i="1" s="1"/>
  <c r="I63" i="1" a="1"/>
  <c r="I63" i="1" s="1"/>
  <c r="I59" i="1" a="1"/>
  <c r="I59" i="1" s="1"/>
  <c r="G55" i="1" a="1"/>
  <c r="G55" i="1" s="1"/>
  <c r="H19" i="1" a="1"/>
  <c r="H19" i="1" s="1"/>
  <c r="G39" i="1" a="1"/>
  <c r="G39" i="1" s="1"/>
  <c r="G61" i="1" a="1"/>
  <c r="G61" i="1" s="1"/>
  <c r="I8" i="1" a="1"/>
  <c r="I8" i="1" s="1"/>
  <c r="I42" i="1" a="1"/>
  <c r="I42" i="1" s="1"/>
  <c r="I26" i="1" a="1"/>
  <c r="I26" i="1" s="1"/>
  <c r="I20" i="1" a="1"/>
  <c r="I20" i="1" s="1"/>
  <c r="I12" i="1" a="1"/>
  <c r="I12" i="1" s="1"/>
  <c r="G6" i="1" a="1"/>
  <c r="G6" i="1" s="1"/>
  <c r="G20" i="1" a="1"/>
  <c r="G20" i="1" s="1"/>
  <c r="G12" i="1" a="1"/>
  <c r="G12" i="1" s="1"/>
  <c r="H45" i="1" a="1"/>
  <c r="H45" i="1" s="1"/>
  <c r="H41" i="1" a="1"/>
  <c r="H41" i="1" s="1"/>
  <c r="H37" i="1" a="1"/>
  <c r="H37" i="1" s="1"/>
  <c r="H33" i="1" a="1"/>
  <c r="H33" i="1" s="1"/>
  <c r="H51" i="1" a="1"/>
  <c r="H51" i="1" s="1"/>
  <c r="H63" i="1" a="1"/>
  <c r="H63" i="1" s="1"/>
  <c r="H59" i="1" a="1"/>
  <c r="H59" i="1" s="1"/>
  <c r="H29" i="1" a="1"/>
  <c r="H29" i="1" s="1"/>
  <c r="G67" i="1" a="1"/>
  <c r="G67" i="1" s="1"/>
  <c r="G65" i="1" a="1"/>
  <c r="G65" i="1" s="1"/>
  <c r="I18" i="1" a="1"/>
  <c r="I18" i="1" s="1"/>
  <c r="H26" i="1" a="1"/>
  <c r="H26" i="1" s="1"/>
  <c r="H12" i="1" a="1"/>
  <c r="H12" i="1" s="1"/>
  <c r="G31" i="1" a="1"/>
  <c r="G31" i="1" s="1"/>
  <c r="G11" i="1" a="1"/>
  <c r="G11" i="1" s="1"/>
  <c r="G45" i="1" a="1"/>
  <c r="G45" i="1" s="1"/>
  <c r="G41" i="1" a="1"/>
  <c r="G41" i="1" s="1"/>
  <c r="G37" i="1" a="1"/>
  <c r="G37" i="1" s="1"/>
  <c r="G33" i="1" a="1"/>
  <c r="G33" i="1" s="1"/>
  <c r="G51" i="1" a="1"/>
  <c r="G51" i="1" s="1"/>
  <c r="G63" i="1" a="1"/>
  <c r="G63" i="1" s="1"/>
  <c r="G17" i="1" a="1"/>
  <c r="G17" i="1" s="1"/>
  <c r="G49" i="1" a="1"/>
  <c r="G49" i="1" s="1"/>
  <c r="H6" i="1" a="1"/>
  <c r="H6" i="1" s="1"/>
  <c r="H20" i="1" a="1"/>
  <c r="H20" i="1" s="1"/>
  <c r="I31" i="1" a="1"/>
  <c r="I31" i="1" s="1"/>
  <c r="I25" i="1" a="1"/>
  <c r="I25" i="1" s="1"/>
  <c r="I17" i="1" a="1"/>
  <c r="I17" i="1" s="1"/>
  <c r="I11" i="1" a="1"/>
  <c r="I11" i="1" s="1"/>
  <c r="G30" i="1" a="1"/>
  <c r="G30" i="1" s="1"/>
  <c r="G10" i="1" a="1"/>
  <c r="G10" i="1" s="1"/>
  <c r="I32" i="1" a="1"/>
  <c r="I32" i="1" s="1"/>
  <c r="I44" i="1" a="1"/>
  <c r="I44" i="1" s="1"/>
  <c r="I40" i="1" a="1"/>
  <c r="I40" i="1" s="1"/>
  <c r="I36" i="1" a="1"/>
  <c r="I36" i="1" s="1"/>
  <c r="I54" i="1" a="1"/>
  <c r="I54" i="1" s="1"/>
  <c r="I50" i="1" a="1"/>
  <c r="I50" i="1" s="1"/>
  <c r="I62" i="1" a="1"/>
  <c r="I62" i="1" s="1"/>
  <c r="I56" i="1" a="1"/>
  <c r="I56" i="1" s="1"/>
  <c r="G56" i="1" a="1"/>
  <c r="G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<sst xmlns="http://schemas.openxmlformats.org/spreadsheetml/2006/main" count="465" uniqueCount="251">
  <si>
    <t>메뉴명</t>
  </si>
  <si>
    <t>기능</t>
  </si>
  <si>
    <t>테스트ID</t>
  </si>
  <si>
    <t>CASE</t>
  </si>
  <si>
    <t>STEP</t>
  </si>
  <si>
    <t>테스트 예상 결과</t>
  </si>
  <si>
    <t>최근 실행 결과</t>
  </si>
  <si>
    <t>최근 실행 날짜</t>
  </si>
  <si>
    <t>이슈</t>
  </si>
  <si>
    <t>메뉴명</t>
    <phoneticPr fontId="1" type="noConversion"/>
  </si>
  <si>
    <t>상세
Setting</t>
  </si>
  <si>
    <t>검색 필드의 기본값 세팅을 확인한다.</t>
  </si>
  <si>
    <t>메뉴 페이지 접속시, 각 필드의 기본값 세팅 확인</t>
  </si>
  <si>
    <t>기본값이 설정되어있을 시, 메뉴 접속했을 때 해당 필드에 입력됨</t>
  </si>
  <si>
    <t>검색 필드의 필수값 세팅을 확인한다.</t>
  </si>
  <si>
    <t>메뉴 페이지 접속시, 각 필드의 필수값 세팅 확인</t>
  </si>
  <si>
    <t>필수값 설정되어있을 시, 필드라벨과 필드란에 색깔로 표기됨</t>
  </si>
  <si>
    <t>검색 필드 Lov 팝업창의 데이터 세팅을 확인한다.</t>
  </si>
  <si>
    <t>각 필드의 Lov 버튼 클릭</t>
  </si>
  <si>
    <t>특정 필드에 해당되는 Lov 팝업창 데이터 확인</t>
  </si>
  <si>
    <t>각 검색필드에 데이터 입력 후 검색 버튼 클릭</t>
  </si>
  <si>
    <t>각 검색필드에 입력된 데이터 전체 삭제 후 검색 버튼 클릭</t>
  </si>
  <si>
    <t>등록된 전체 데이터가 목록에 표시됨
(목록 우측하단 total : n/n 숫자와 조회된 데이터 개수(순번)와 일치)</t>
  </si>
  <si>
    <t>조회된 데이터의 목록을 정렬한다.</t>
  </si>
  <si>
    <t>목록의 그리드 헤더 클릭</t>
  </si>
  <si>
    <t>선택한 헤더의 필드값 기준으로 오름차순, 내림차순 정렬됨</t>
  </si>
  <si>
    <t>검색된 목록 데이터 행 클릭</t>
  </si>
  <si>
    <t>검색된 목록 하단에 펼쳐지는 상세페이지에서 해당 데이터의 각 항목에 입력된 값을 확인할 수 있음</t>
  </si>
  <si>
    <t>목록에서 특정 데이터 행 클릭 후 상세보기 버튼 클릭</t>
  </si>
  <si>
    <t>선택한 데이터의 상세페이지가 팝업창으로 열림 (목록 하단에 펼쳐지는 상세페이지와 내용 동일)</t>
  </si>
  <si>
    <t>(목록) 검색된 데이터의 포맷 형태를 확인한다.</t>
  </si>
  <si>
    <t>검색 후 목록에 조회된 각 데이터 종류에 따른 포맷 형태를 확인한다.</t>
  </si>
  <si>
    <t>숫자는 천단위 반점표기, 날짜는 yyyy-mm-dd (숫자 : 오른쪽 정렬 , 텍스트 : 왼쪽 정렬 , 코드/날짜 : 가운데 정렬)</t>
  </si>
  <si>
    <t>(상세) 검색된 데이터의 포맷 형태를 확인한다.</t>
  </si>
  <si>
    <t>상세페이지를 닫는다.</t>
  </si>
  <si>
    <t>하단에 펼쳐진 상세페이지 닫기버튼 (ⓧ) 클릭</t>
  </si>
  <si>
    <t>상세페이지 닫힘</t>
  </si>
  <si>
    <t>(팝업창) 상세페이지를 닫는다.</t>
  </si>
  <si>
    <t>창닫기 X 버튼 클릭</t>
  </si>
  <si>
    <t>상세화면(혹은 상세보기 팝업)에서 데이터 수정, 저장 클릭 후 저장 팝업창에서 OK 버튼 클릭</t>
  </si>
  <si>
    <t>변경사항이 저장됨 (상세보기 팝업창에서 수정 후 목록에 반영되려면 재검색 혹은 새로고침해야함)</t>
  </si>
  <si>
    <t>상세화면(혹은 상세보기 팝업)에서 필수값 삭제 후 데이터 수정, 저장 클릭 후 저장 팝업창에서 OK 버튼 클릭</t>
  </si>
  <si>
    <t>필수값 누락에 대한 팝업 표시. 수정 불가 확인</t>
  </si>
  <si>
    <t>목록에 조회된 데이터를 Excel 다운로드한다.</t>
  </si>
  <si>
    <t>1. 검색필드에 필요한 데이터 입력 후 검색
2. Excel 버튼 클릭</t>
  </si>
  <si>
    <t>검색 입력필드 순서를 변경한다.</t>
  </si>
  <si>
    <t>Setting 버튼 클릭, Setting 팝업창에서 특정 필드 항목의 정렬값 숫자를 변경 후 저장</t>
  </si>
  <si>
    <t>해당 필드가 정렬값대로 나열됨 (작은 숫자일수록 앞에 나열됨)</t>
  </si>
  <si>
    <t>검색 입력필드를 보이지 않게 숨긴다.</t>
  </si>
  <si>
    <t>Setting 버튼 클릭, Setting 팝업창에서 특정 필드 숨김 설정 (화면 Display여부 N) 후 저장</t>
  </si>
  <si>
    <t>검색 입력필드를 보이도록 한다.</t>
  </si>
  <si>
    <t>Setting 버튼 클릭, Setting 팝업창에서 특정 필드 숨김 설정 (화면 Display여부 Y) 후 저장</t>
  </si>
  <si>
    <t>검색 입력필드명을 변경한다.</t>
  </si>
  <si>
    <t>Setting 버튼 클릭, Setting 팝업창에서 특정 필드 항목의 화면표시명 필드 값 변경 후 저장</t>
  </si>
  <si>
    <t>상세 입력필드 순서를 변경한다.</t>
  </si>
  <si>
    <t>상세 입력필드를 보이지 않게 숨긴다.</t>
  </si>
  <si>
    <t>상세 입력필드를 보이도록 한다.</t>
  </si>
  <si>
    <t>엣지케이스</t>
  </si>
  <si>
    <t>공통</t>
    <phoneticPr fontId="1" type="noConversion"/>
  </si>
  <si>
    <t>Y</t>
    <phoneticPr fontId="1" type="noConversion"/>
  </si>
  <si>
    <t>1. 검색 조건에 맞는 데이터가 조회됨
2. 검색된 데이터가 입력된 Excel 파일이 다운로드됨
(검색결과가 없는 상태에서 클릭시, 목록 헤더만 입력된 Excel 파일이 다운로드 됨)</t>
    <phoneticPr fontId="1" type="noConversion"/>
  </si>
  <si>
    <t>G,H,I 행 수식 수정 금지</t>
    <phoneticPr fontId="1" type="noConversion"/>
  </si>
  <si>
    <t>(행 클릭) 조회된 데이터의 상세정보를 조회한다.</t>
    <phoneticPr fontId="1" type="noConversion"/>
  </si>
  <si>
    <t>(상세보기 버튼 클릭) 조회된 데이터의 상세정보를 조회한다.</t>
    <phoneticPr fontId="1" type="noConversion"/>
  </si>
  <si>
    <t>상세 입력필드명을 변경한다.</t>
    <phoneticPr fontId="1" type="noConversion"/>
  </si>
  <si>
    <t>목록 칼럼을 보이지 않게 숨긴다.</t>
    <phoneticPr fontId="1" type="noConversion"/>
  </si>
  <si>
    <t>Setting 버튼 클릭, Setting 팝업창에서 특정 칼럼 숨김 설정 (화면 Display여부 N) 후 저장</t>
    <phoneticPr fontId="1" type="noConversion"/>
  </si>
  <si>
    <t>해당 칼럼이 목록에서 숨겨짐 (새로고침 후 반영 확인)</t>
    <phoneticPr fontId="1" type="noConversion"/>
  </si>
  <si>
    <t>목록 칼럼을 보이도록 한다.</t>
    <phoneticPr fontId="1" type="noConversion"/>
  </si>
  <si>
    <t>Setting 버튼 클릭, Setting 팝업창에서 특정 칼럼 숨김 설정 (화면 Display여부 Y) 후 저장</t>
    <phoneticPr fontId="1" type="noConversion"/>
  </si>
  <si>
    <t>해당 칼럼이 목록에서 보임 (새로고침 후 반영 확인)</t>
    <phoneticPr fontId="1" type="noConversion"/>
  </si>
  <si>
    <t>목록 칼럼 순서를 변경한다.</t>
    <phoneticPr fontId="1" type="noConversion"/>
  </si>
  <si>
    <t>Setting 버튼 클릭, Setting 팝업창에서 특정 칼럼 항목의 정렬값 숫자를 변경 후 저장</t>
    <phoneticPr fontId="1" type="noConversion"/>
  </si>
  <si>
    <t>목록 칼럼 너비를 변경한다.</t>
    <phoneticPr fontId="1" type="noConversion"/>
  </si>
  <si>
    <t>해당 칼럼의 너비가 변경됨 (새로고침 후 반영 확인)</t>
    <phoneticPr fontId="1" type="noConversion"/>
  </si>
  <si>
    <t>목록 칼럼 정렬을 변경한다.</t>
    <phoneticPr fontId="1" type="noConversion"/>
  </si>
  <si>
    <t>Setting 버튼 클릭, Setting 팝업창에서 특정 칼럼 항목의 정렬 설정 (Left, Center, Right) 후 저장</t>
    <phoneticPr fontId="1" type="noConversion"/>
  </si>
  <si>
    <t>해당 칼럼의 텍스트 정렬 위치가 변경됨 (새로고침 후 반영 확인)</t>
    <phoneticPr fontId="1" type="noConversion"/>
  </si>
  <si>
    <t>목록 칼럼의 데이터 조회순서를 변경한다.</t>
    <phoneticPr fontId="1" type="noConversion"/>
  </si>
  <si>
    <t>Setting 버튼 클릭, Setting 팝업창에서 특정 칼럼 항목의 조회순서 설정 (ASC, DESC) 후 저장</t>
    <phoneticPr fontId="1" type="noConversion"/>
  </si>
  <si>
    <t>해당 칼럼의 데이터 조회 순서 변경 (새로고침 후 반영 확인, ASC : 오름차순, DESC : 내림차순)</t>
    <phoneticPr fontId="1" type="noConversion"/>
  </si>
  <si>
    <t>목록 칼럼의 배경 색상을 변경한다.</t>
    <phoneticPr fontId="1" type="noConversion"/>
  </si>
  <si>
    <t>Setting 버튼 클릭, Setting 팝업창에서 특정 칼럼 항목의 Background Color 선택 (&gt;,&gt;=,&lt;,&lt;=,!=,Not in,In / Blue, Red) 후 저장</t>
    <phoneticPr fontId="1" type="noConversion"/>
  </si>
  <si>
    <t>해당 칼럼의 배경 색상 변경 (새로고침 후 반영 확인, 특정값을 기준으로 크거나 작을 때 배경 색깔이 바뀌도록 설정 가능함)</t>
    <phoneticPr fontId="1" type="noConversion"/>
  </si>
  <si>
    <t>목록 칼럼의 리스트 길이를 변경한다. (-/+ 버튼)</t>
    <phoneticPr fontId="1" type="noConversion"/>
  </si>
  <si>
    <t>Setting 버튼 클릭, Setting 팝업창에서 특정 칼럼 항목의 리스트 길이 (-,+) 설정 후 저장</t>
    <phoneticPr fontId="1" type="noConversion"/>
  </si>
  <si>
    <t>해당 칼럼의 목록 리스트 길이가 증가 또는 감소됨 (새로고침 후 반영 확인, - : 숫자 감소, + : 숫자 증가)</t>
    <phoneticPr fontId="1" type="noConversion"/>
  </si>
  <si>
    <t>목록 칼럼의 리스트 길이를 변경한다. (숫자 입력)</t>
    <phoneticPr fontId="1" type="noConversion"/>
  </si>
  <si>
    <t>Setting 버튼 클릭, Setting 팝업창에서 리스트 길이 숫자 입력 후 저장</t>
    <phoneticPr fontId="1" type="noConversion"/>
  </si>
  <si>
    <t>해당 칼럼의 리스트 길이가 입력한 숫자만큼 변경됨 (새로고침 후 반영 확인)</t>
    <phoneticPr fontId="1" type="noConversion"/>
  </si>
  <si>
    <t>Setting 버튼 클릭, Setting 팝업창에서 특정 칼럼 항목의 칼럼너비(숫자)를 입력 후 저장</t>
    <phoneticPr fontId="1" type="noConversion"/>
  </si>
  <si>
    <t>해당 칼럼이 정렬값대로 나열됨 (작은 숫자일수록 앞에 나열됨, 새로고침 후 반영 확인)</t>
    <phoneticPr fontId="1" type="noConversion"/>
  </si>
  <si>
    <t>해당 필드의 필드명이 변경됨 (새로고침 후 반영 확인)</t>
    <phoneticPr fontId="1" type="noConversion"/>
  </si>
  <si>
    <t>해당 필드가 정렬값대로 나열됨 (작은 숫자일수록 앞에 나열됨, 새로고침 후 반영 확인)</t>
    <phoneticPr fontId="1" type="noConversion"/>
  </si>
  <si>
    <t>해당 필드가 상세에서 보임</t>
    <phoneticPr fontId="1" type="noConversion"/>
  </si>
  <si>
    <t>해당 필드가 상세에서 숨겨짐</t>
    <phoneticPr fontId="1" type="noConversion"/>
  </si>
  <si>
    <t>해당 필드가 검색에서 보임</t>
    <phoneticPr fontId="1" type="noConversion"/>
  </si>
  <si>
    <t>해당 필드가 검색에서 숨겨짐</t>
    <phoneticPr fontId="1" type="noConversion"/>
  </si>
  <si>
    <t>탭목록 클릭</t>
    <phoneticPr fontId="1" type="noConversion"/>
  </si>
  <si>
    <t>입력한 필드 값에 해당되는 데이터만 목록에 표시됨
(목록 우측하단 total : n/n 숫자와 조회된 데이터 개수(순번)와 일치)</t>
    <phoneticPr fontId="1" type="noConversion"/>
  </si>
  <si>
    <t>탭목록 데이터 개수가 조회됨(탭목록 우측하단 total : n/n 숫자와 조회된 데이터 개수(순번)와 일치하는지 확인)</t>
    <phoneticPr fontId="1" type="noConversion"/>
  </si>
  <si>
    <t>탭목록의 그리드 헤더 클릭</t>
    <phoneticPr fontId="1" type="noConversion"/>
  </si>
  <si>
    <t>탭목록 데이터의 포맷 형태를 확인한다.</t>
    <phoneticPr fontId="1" type="noConversion"/>
  </si>
  <si>
    <t>탭목록을 정렬한다.</t>
    <phoneticPr fontId="1" type="noConversion"/>
  </si>
  <si>
    <t>검색 후 상세에 조회된 각 데이터 종류에 따른 포맷 형태를 확인한다.</t>
    <phoneticPr fontId="1" type="noConversion"/>
  </si>
  <si>
    <t>탭목록에서 특정 데이터 행 클릭 후 상세보기 버튼 클릭</t>
    <phoneticPr fontId="1" type="noConversion"/>
  </si>
  <si>
    <t>탭목록 데이터 행 클릭</t>
    <phoneticPr fontId="1" type="noConversion"/>
  </si>
  <si>
    <t>탭목록 하단에 펼쳐지는 상세페이지에서 해당 데이터의 각 항목에 입력된 값을 확인할 수 있음</t>
    <phoneticPr fontId="1" type="noConversion"/>
  </si>
  <si>
    <t>선택한 탭데이터의 상세페이지가 팝업창으로 열림 (탭목록 하단에 펼쳐지는 상세페이지와 내용 동일)</t>
    <phoneticPr fontId="1" type="noConversion"/>
  </si>
  <si>
    <t>탭목록에 조회된 각 데이터 종류에 따른 포맷 형태를 확인한다.</t>
    <phoneticPr fontId="1" type="noConversion"/>
  </si>
  <si>
    <t>탭상세에 조회된 각 데이터 종류에 따른 포맷 형태를 확인한다.</t>
    <phoneticPr fontId="1" type="noConversion"/>
  </si>
  <si>
    <t>탭상세페이지를 닫는다.</t>
    <phoneticPr fontId="1" type="noConversion"/>
  </si>
  <si>
    <t>하단에 펼쳐진 탭상세페이지 닫기버튼 (ⓧ) 클릭</t>
    <phoneticPr fontId="1" type="noConversion"/>
  </si>
  <si>
    <t>탭상세페이지 닫힘</t>
    <phoneticPr fontId="1" type="noConversion"/>
  </si>
  <si>
    <t>탭상세 창닫기 X 버튼 클릭</t>
    <phoneticPr fontId="1" type="noConversion"/>
  </si>
  <si>
    <t>(팝업창) 탭상세페이지를 닫는다.</t>
    <phoneticPr fontId="1" type="noConversion"/>
  </si>
  <si>
    <t>탭상세화면(혹은 상세보기 팝업)에서 데이터 수정, 저장 클릭 후 저장 팝업창에서 OK 버튼 클릭</t>
    <phoneticPr fontId="1" type="noConversion"/>
  </si>
  <si>
    <t>탭상세화면(혹은 상세보기 팝업)에서 필수값 삭제 후 데이터 수정, 저장 클릭 후 저장 팝업창에서 OK 버튼 클릭</t>
    <phoneticPr fontId="1" type="noConversion"/>
  </si>
  <si>
    <t>탭목록에 조회된 데이터를 Excel 다운로드한다.</t>
    <phoneticPr fontId="1" type="noConversion"/>
  </si>
  <si>
    <t>Excel 버튼 클릭</t>
    <phoneticPr fontId="1" type="noConversion"/>
  </si>
  <si>
    <t>탭상세
Setting</t>
    <phoneticPr fontId="1" type="noConversion"/>
  </si>
  <si>
    <t>탭목록
Setting</t>
    <phoneticPr fontId="1" type="noConversion"/>
  </si>
  <si>
    <t>탭상세 입력필드 순서를 변경한다.</t>
    <phoneticPr fontId="1" type="noConversion"/>
  </si>
  <si>
    <t>탭상세 입력필드를 보이지 않게 숨긴다.</t>
    <phoneticPr fontId="1" type="noConversion"/>
  </si>
  <si>
    <t>탭상세 입력필드를 보이도록 한다.</t>
    <phoneticPr fontId="1" type="noConversion"/>
  </si>
  <si>
    <t>탭상세 입력필드명을 변경한다.</t>
    <phoneticPr fontId="1" type="noConversion"/>
  </si>
  <si>
    <t>탭목록 칼럼을 보이지 않게 숨긴다.</t>
    <phoneticPr fontId="1" type="noConversion"/>
  </si>
  <si>
    <t>탭목록 칼럼을 보이도록 한다.</t>
    <phoneticPr fontId="1" type="noConversion"/>
  </si>
  <si>
    <t>탭목록 칼럼 순서를 변경한다.</t>
    <phoneticPr fontId="1" type="noConversion"/>
  </si>
  <si>
    <t>탭목록 칼럼 너비를 변경한다.</t>
    <phoneticPr fontId="1" type="noConversion"/>
  </si>
  <si>
    <t>탭목록 칼럼 정렬을 변경한다.</t>
    <phoneticPr fontId="1" type="noConversion"/>
  </si>
  <si>
    <t>탭목록 칼럼의 데이터 조회순서를 변경한다.</t>
    <phoneticPr fontId="1" type="noConversion"/>
  </si>
  <si>
    <t>탭목록 칼럼의 배경 색상을 변경한다.</t>
    <phoneticPr fontId="1" type="noConversion"/>
  </si>
  <si>
    <t>탭목록 칼럼의 리스트 길이를 변경한다. (-/+ 버튼)</t>
    <phoneticPr fontId="1" type="noConversion"/>
  </si>
  <si>
    <t>탭목록 칼럼의 리스트 길이를 변경한다. (숫자 입력)</t>
    <phoneticPr fontId="1" type="noConversion"/>
  </si>
  <si>
    <t>탭조회</t>
    <phoneticPr fontId="1" type="noConversion"/>
  </si>
  <si>
    <t>탭닫기</t>
    <phoneticPr fontId="1" type="noConversion"/>
  </si>
  <si>
    <t>탭수정</t>
    <phoneticPr fontId="1" type="noConversion"/>
  </si>
  <si>
    <t>탭Excel</t>
    <phoneticPr fontId="1" type="noConversion"/>
  </si>
  <si>
    <t>변경사항이 저장됨 (상세보기 팝업창에서 수정 후 탭목록에 반영되려면 새로고침해야함)</t>
    <phoneticPr fontId="1" type="noConversion"/>
  </si>
  <si>
    <t>탭목록 헤더만 입력된 Excel 파일이 다운로드됨</t>
    <phoneticPr fontId="1" type="noConversion"/>
  </si>
  <si>
    <t>해당 칼럼이 탭목록에서 숨겨짐 (새로고침 후 반영 확인)</t>
    <phoneticPr fontId="1" type="noConversion"/>
  </si>
  <si>
    <t>해당 칼럼이 탭목록에서 보임 (새로고침 후 반영 확인)</t>
    <phoneticPr fontId="1" type="noConversion"/>
  </si>
  <si>
    <t>탭목록 데이터 개수 확인한다.</t>
    <phoneticPr fontId="1" type="noConversion"/>
  </si>
  <si>
    <t>탭상세 데이터의 포맷 형태를 확인한다.</t>
    <phoneticPr fontId="1" type="noConversion"/>
  </si>
  <si>
    <t>AP591_TC_001</t>
  </si>
  <si>
    <t>AP591_TC_002</t>
  </si>
  <si>
    <t>AP591_TC_003</t>
  </si>
  <si>
    <t>AP591_TC_004</t>
  </si>
  <si>
    <t>AP591_TC_005</t>
  </si>
  <si>
    <t>AP591_TC_006</t>
  </si>
  <si>
    <t>AP591_TC_007</t>
  </si>
  <si>
    <t>AP591_TC_008</t>
  </si>
  <si>
    <t>AP591_TC_009</t>
  </si>
  <si>
    <t>AP591_TC_010</t>
  </si>
  <si>
    <t>AP591_TC_011</t>
  </si>
  <si>
    <t>AP591_TC_012</t>
  </si>
  <si>
    <t>AP591_TC_013</t>
  </si>
  <si>
    <t>AP591_TC_014</t>
  </si>
  <si>
    <t>AP591_TC_015</t>
  </si>
  <si>
    <t>AP591_TC_016</t>
  </si>
  <si>
    <t>AP591_TC_017</t>
  </si>
  <si>
    <t>AP591_TC_018</t>
  </si>
  <si>
    <t>AP591_TC_019</t>
  </si>
  <si>
    <t>AP591_TC_020</t>
  </si>
  <si>
    <t>AP591_TC_021</t>
  </si>
  <si>
    <t>AP591_TC_022</t>
  </si>
  <si>
    <t>AP591_TC_023</t>
  </si>
  <si>
    <t>AP591_TC_024</t>
  </si>
  <si>
    <t>AP591_TC_025</t>
  </si>
  <si>
    <t>AP591_TC_026</t>
  </si>
  <si>
    <t>AP591_TC_027</t>
  </si>
  <si>
    <t>AP591_TC_028</t>
  </si>
  <si>
    <t>AP591_TC_029</t>
  </si>
  <si>
    <t>AP591_TC_030</t>
  </si>
  <si>
    <t>AP591_TC_031</t>
  </si>
  <si>
    <t>AP591_TC_032</t>
  </si>
  <si>
    <t>AP591_TC_033</t>
  </si>
  <si>
    <t>AP591_TC_034</t>
  </si>
  <si>
    <t>AP591_TC_035</t>
  </si>
  <si>
    <t>AP591_TC_036</t>
  </si>
  <si>
    <t>AP591_TC_037</t>
  </si>
  <si>
    <t>AP591_TC_038</t>
  </si>
  <si>
    <t>AP591_TC_039</t>
  </si>
  <si>
    <t>AP591_TC_040</t>
  </si>
  <si>
    <t>AP591_TC_041</t>
  </si>
  <si>
    <t>AP591_TC_042</t>
  </si>
  <si>
    <t>AP591_TC_043</t>
  </si>
  <si>
    <t>AP591_TC_044</t>
  </si>
  <si>
    <t>AP591_TC_045</t>
  </si>
  <si>
    <t>AP591_TC_046</t>
  </si>
  <si>
    <t>AP591_TC_047</t>
  </si>
  <si>
    <t>AP591_TC_048</t>
  </si>
  <si>
    <t>AP591_TC_049</t>
  </si>
  <si>
    <t>AP591_TC_050</t>
  </si>
  <si>
    <t>AP591_TC_051</t>
  </si>
  <si>
    <t>AP591_TC_052</t>
  </si>
  <si>
    <t>AP591_TC_053</t>
  </si>
  <si>
    <t>AP591_TC_054</t>
  </si>
  <si>
    <t>AP591_TC_055</t>
  </si>
  <si>
    <t>AP591_TC_056</t>
  </si>
  <si>
    <t>AP591_TC_057</t>
  </si>
  <si>
    <t>AP591_TC_058</t>
  </si>
  <si>
    <t>AP591_TC_059</t>
  </si>
  <si>
    <t>AP591_TC_060</t>
  </si>
  <si>
    <t>AP591_TC_061</t>
  </si>
  <si>
    <t>AP591_TC_062</t>
  </si>
  <si>
    <t>AP591_EC_001</t>
  </si>
  <si>
    <t>정기점검실행_AP591</t>
  </si>
  <si>
    <t>조건에 맞는 정기점검실행 데이터를 검색한다.</t>
  </si>
  <si>
    <t>정기점검실행 데이터를 전체 검색한다.</t>
  </si>
  <si>
    <t>저장된 정기점검실행 데이터의 필수값과 그 외 값을 수정한다.</t>
  </si>
  <si>
    <t>저장된 정기점검실행 데이터의 필수값을 제외 한 후 그 외 값을 수정한다.</t>
  </si>
  <si>
    <t>확정</t>
    <phoneticPr fontId="1" type="noConversion"/>
  </si>
  <si>
    <t>Linked</t>
    <phoneticPr fontId="1" type="noConversion"/>
  </si>
  <si>
    <t>정기점검을 확정처리한다. (필수값 입력O)</t>
    <phoneticPr fontId="1" type="noConversion"/>
  </si>
  <si>
    <t>확정 버튼 클릭</t>
    <phoneticPr fontId="1" type="noConversion"/>
  </si>
  <si>
    <t>완료일자 오늘 날짜로 변경, 일정상태 작업완료로 변경되고 페이지 수정 불가 확인</t>
    <phoneticPr fontId="1" type="noConversion"/>
  </si>
  <si>
    <t>정기점검을 확정처리한다. (필수값 입력X)</t>
    <phoneticPr fontId="1" type="noConversion"/>
  </si>
  <si>
    <t>기준서를 확인한다.</t>
    <phoneticPr fontId="1" type="noConversion"/>
  </si>
  <si>
    <t>Linked 클릭, 기준서 링크 클릭</t>
    <phoneticPr fontId="1" type="noConversion"/>
  </si>
  <si>
    <t>해당 점검의 기준서(정기점검주기설정) 팝업창 열림 확인</t>
    <phoneticPr fontId="1" type="noConversion"/>
  </si>
  <si>
    <t>정기점검결과출력을 확인한다.</t>
    <phoneticPr fontId="1" type="noConversion"/>
  </si>
  <si>
    <t>Linked 클릭, 정기점검결과출력 링크 클릭</t>
    <phoneticPr fontId="1" type="noConversion"/>
  </si>
  <si>
    <t>해당 점검의 정기점검결과서 출력물 팝업창 열림 확인</t>
    <phoneticPr fontId="1" type="noConversion"/>
  </si>
  <si>
    <t>필수값 누락에 대한 팝업 표시. 확정 불가 확인</t>
    <phoneticPr fontId="1" type="noConversion"/>
  </si>
  <si>
    <t>목록 컬럼 데이터를 수정한다.</t>
    <phoneticPr fontId="1" type="noConversion"/>
  </si>
  <si>
    <t>Edit 버튼 클릭, 목록 특정 칼람 항목 클릭 후 데이터 수정, 저장 클릭 후 저장 팝업창에서 OK 버튼 클릭</t>
    <phoneticPr fontId="1" type="noConversion"/>
  </si>
  <si>
    <t>수정 모드 메시지 창. 변경사항이 저장됨</t>
    <phoneticPr fontId="1" type="noConversion"/>
  </si>
  <si>
    <t>목록 컬럼 데이터를 수정취소한다.</t>
    <phoneticPr fontId="1" type="noConversion"/>
  </si>
  <si>
    <t>Edit 버튼 클릭, 목록 특정 칼람 항목 클릭 후 데이터 수정, 취소버튼 클릭</t>
    <phoneticPr fontId="1" type="noConversion"/>
  </si>
  <si>
    <t>수정 취소 메시지 창. 수정모드 진입 이전 상태로 되돌아감</t>
    <phoneticPr fontId="1" type="noConversion"/>
  </si>
  <si>
    <t>EdIt</t>
    <phoneticPr fontId="1" type="noConversion"/>
  </si>
  <si>
    <t>N</t>
    <phoneticPr fontId="1" type="noConversion"/>
  </si>
  <si>
    <t>ORACLE, MS-SQL
- 점검항목탭 목록
특정 컬럼 항목 클릭 후 데이터 수정 후 저장 버튼 클릭하면 반응 없음</t>
    <phoneticPr fontId="1" type="noConversion"/>
  </si>
  <si>
    <t>AP591_TC_003</t>
    <phoneticPr fontId="1" type="noConversion"/>
  </si>
  <si>
    <t>ORACLE, MS-SQL
- 카렌다(월간)/목록(조건)
점검Group 필드 숨김처리 필요(점검Group 메뉴 숨김처리해서 사용x)</t>
    <phoneticPr fontId="1" type="noConversion"/>
  </si>
  <si>
    <t>AP591_TC_007</t>
    <phoneticPr fontId="1" type="noConversion"/>
  </si>
  <si>
    <t>ORACLE, MS-SQL
- 목록 점검시간 컬럼 숨김 필요
(상세나 기준서에 점검시간 관련 내용이 없음)</t>
    <phoneticPr fontId="1" type="noConversion"/>
  </si>
  <si>
    <t>AP591_TC_013</t>
    <phoneticPr fontId="1" type="noConversion"/>
  </si>
  <si>
    <t>AP591_TC_061</t>
    <phoneticPr fontId="1" type="noConversion"/>
  </si>
  <si>
    <t>ORACLE, MS-SQL
- 카렌다(월간)/목록(조건)
검색조건 년월 필수값 체크 필요(필수값 입력에 대한 팝업 메시지도 필요)</t>
    <phoneticPr fontId="1" type="noConversion"/>
  </si>
  <si>
    <t>카렌다(월간), 목록(조건)
검색</t>
    <phoneticPr fontId="1" type="noConversion"/>
  </si>
  <si>
    <t>카렌다(월간), 목록(조건)
닫기</t>
    <phoneticPr fontId="1" type="noConversion"/>
  </si>
  <si>
    <t>카렌다(월간), 목록(조건)
수정</t>
    <phoneticPr fontId="1" type="noConversion"/>
  </si>
  <si>
    <t>카렌다(월간), 목록(조건)
Excel</t>
    <phoneticPr fontId="1" type="noConversion"/>
  </si>
  <si>
    <t>카렌다(월간), 목록(조건)
검색
Setting</t>
    <phoneticPr fontId="1" type="noConversion"/>
  </si>
  <si>
    <t>카렌다(월간), 목록(조건)
목록
Setting</t>
    <phoneticPr fontId="1" type="noConversion"/>
  </si>
  <si>
    <t>닫기</t>
    <phoneticPr fontId="1" type="noConversion"/>
  </si>
  <si>
    <t>AP591_TC_002</t>
    <phoneticPr fontId="1" type="noConversion"/>
  </si>
  <si>
    <t>AP591_TC_062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</si>
</sst>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BABC-A18F-46ED-8121-07321F0610FD}">
  <dimension ref="A2:I83"/>
  <sheetViews>
    <sheetView tabSelected="1"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2" sqref="A2:I2"/>
    </sheetView>
  </sheetViews>
  <sheetFormatPr defaultRowHeight="16.5" x14ac:dyDescent="0.3"/>
  <cols>
    <col min="1" max="1" width="15.375" style="15" bestFit="1" customWidth="1"/>
    <col min="2" max="2" width="21.25" style="15" bestFit="1" customWidth="1"/>
    <col min="3" max="3" width="13" style="15" bestFit="1" customWidth="1"/>
    <col min="4" max="4" width="43.5" style="15" customWidth="1"/>
    <col min="5" max="5" width="61.875" style="15" customWidth="1"/>
    <col min="6" max="6" width="60.5" style="15" bestFit="1" customWidth="1"/>
    <col min="7" max="7" width="14" style="2" customWidth="1"/>
    <col min="8" max="8" width="18.25" style="2" customWidth="1"/>
    <col min="9" max="9" width="21" style="35" customWidth="1"/>
    <col min="10" max="16384" width="9" style="15"/>
  </cols>
  <sheetData>
    <row r="2" spans="1:9" ht="31.5" x14ac:dyDescent="0.3">
      <c r="A2" s="43" t="str">
        <f>"Dream 3.0 "&amp;CLEAN(A6)&amp;" 단위테스트"</f>
        <v>Dream 3.0 정기점검실행_AP591 단위테스트</v>
      </c>
      <c r="B2" s="43"/>
      <c r="C2" s="43"/>
      <c r="D2" s="43"/>
      <c r="E2" s="43"/>
      <c r="F2" s="43"/>
      <c r="G2" s="43"/>
      <c r="H2" s="43"/>
      <c r="I2" s="43"/>
    </row>
    <row r="4" spans="1:9" x14ac:dyDescent="0.3">
      <c r="A4" s="16" t="s">
        <v>58</v>
      </c>
      <c r="I4" s="32" t="s">
        <v>61</v>
      </c>
    </row>
    <row r="5" spans="1:9" x14ac:dyDescent="0.3">
      <c r="A5" s="1" t="s">
        <v>9</v>
      </c>
      <c r="B5" s="1" t="s">
        <v>1</v>
      </c>
      <c r="C5" s="1" t="s">
        <v>2</v>
      </c>
      <c r="D5" s="1" t="s">
        <v>3</v>
      </c>
      <c r="E5" s="1" t="s">
        <v>4</v>
      </c>
      <c r="F5" s="20" t="s">
        <v>5</v>
      </c>
      <c r="G5" s="23" t="s">
        <v>6</v>
      </c>
      <c r="H5" s="23" t="s">
        <v>7</v>
      </c>
      <c r="I5" s="24" t="s">
        <v>8</v>
      </c>
    </row>
    <row r="6" spans="1:9" x14ac:dyDescent="0.3">
      <c r="A6" s="39" t="s">
        <v>208</v>
      </c>
      <c r="B6" s="42" t="s">
        <v>242</v>
      </c>
      <c r="C6" s="3" t="s">
        <v>145</v>
      </c>
      <c r="D6" s="4" t="s">
        <v>11</v>
      </c>
      <c r="E6" s="5" t="s">
        <v>12</v>
      </c>
      <c r="F6" s="4" t="s">
        <v>13</v>
      </c>
      <c r="G6" s="21" t="str" cm="1">
        <f t="array" ref="G6">IFERROR( IF(LEN(INDEX('테스트 실행 로그'!G$6:G$1022, MATCH(1, ('테스트 실행 로그'!C$6:C$1022=C6)*('테스트 실행 로그'!H$6:H$1022=MAX(IF(('테스트 실행 로그'!C$6:C$1022=C6)*('테스트 실행 로그'!H$6:H$1022&lt;&gt;""), '테스트 실행 로그'!H$6:H$1022))), 0)))=0, "결과 없음", INDEX('테스트 실행 로그'!G$6:G$1022, MATCH(1, ('테스트 실행 로그'!C$6:C$1022=C6)*('테스트 실행 로그'!H$6:H$1022=MAX(IF(('테스트 실행 로그'!C$6:C$1022=C6)*('테스트 실행 로그'!H$6:H$1022&lt;&gt;""), '테스트 실행 로그'!H$6:H$1022))), 0))), "결과 없음" )</f>
        <v>Y</v>
      </c>
      <c r="H6" s="22" cm="1">
        <f t="array" ref="H6">IFERROR( IF(MAX(IF(('테스트 실행 로그'!C$6:C$1022=C6)*('테스트 실행 로그'!H$6:H$1022&lt;&gt;""), '테스트 실행 로그'!H$6:H$1022))=0, "날짜 없음", MAX(IF(('테스트 실행 로그'!C$6:C$1022=C6)*('테스트 실행 로그'!H$6:H$1022&lt;&gt;""), '테스트 실행 로그'!H$6:H$1022))), "날짜 없음" )</f>
        <v>45747</v>
      </c>
      <c r="I6" s="33" t="str" cm="1">
        <f t="array" ref="I6">IFERROR(IF(LEN(INDEX('테스트 실행 로그'!I$6:I$1022, MATCH(1, ('테스트 실행 로그'!C$6:C$1022=C6)*('테스트 실행 로그'!H$6:H$1022=MAX(IF('테스트 실행 로그'!C$6:C$1022=C6, '테스트 실행 로그'!H$6:H$1022))), 0)))=0,"이슈 없음",INDEX('테스트 실행 로그'!I$6:I$1022, MATCH(1, ('테스트 실행 로그'!C$6:C$1022=C6)*('테스트 실행 로그'!H$6:H$1022=MAX(IF('테스트 실행 로그'!C$6:C$1022=C6, '테스트 실행 로그'!H$6:H$1022))), 0))),"이슈 없음")</f>
        <v>이슈 없음</v>
      </c>
    </row>
    <row r="7" spans="1:9" x14ac:dyDescent="0.3">
      <c r="A7" s="41"/>
      <c r="B7" s="42"/>
      <c r="C7" s="3" t="s">
        <v>146</v>
      </c>
      <c r="D7" s="4" t="s">
        <v>14</v>
      </c>
      <c r="E7" s="5" t="s">
        <v>15</v>
      </c>
      <c r="F7" s="4" t="s">
        <v>16</v>
      </c>
      <c r="G7" s="18" t="str" cm="1">
        <f t="array" ref="G7">IFERROR( IF(LEN(INDEX('테스트 실행 로그'!G$6:G$1022, MATCH(1, ('테스트 실행 로그'!C$6:C$1022=C7)*('테스트 실행 로그'!H$6:H$1022=MAX(IF(('테스트 실행 로그'!C$6:C$1022=C7)*('테스트 실행 로그'!H$6:H$1022&lt;&gt;""), '테스트 실행 로그'!H$6:H$1022))), 0)))=0, "결과 없음", INDEX('테스트 실행 로그'!G$6:G$1022, MATCH(1, ('테스트 실행 로그'!C$6:C$1022=C7)*('테스트 실행 로그'!H$6:H$1022=MAX(IF(('테스트 실행 로그'!C$6:C$1022=C7)*('테스트 실행 로그'!H$6:H$1022&lt;&gt;""), '테스트 실행 로그'!H$6:H$1022))), 0))), "결과 없음" )</f>
        <v>Y</v>
      </c>
      <c r="H7" s="19" cm="1">
        <f t="array" ref="H7">IFERROR( IF(MAX(IF(('테스트 실행 로그'!C$6:C$1022=C7)*('테스트 실행 로그'!H$6:H$1022&lt;&gt;""), '테스트 실행 로그'!H$6:H$1022))=0, "날짜 없음", MAX(IF(('테스트 실행 로그'!C$6:C$1022=C7)*('테스트 실행 로그'!H$6:H$1022&lt;&gt;""), '테스트 실행 로그'!H$6:H$1022))), "날짜 없음" )</f>
        <v>45776</v>
      </c>
      <c r="I7" s="34" t="str" cm="1">
        <f t="array" ref="I7">IFERROR(IF(LEN(INDEX('테스트 실행 로그'!I$6:I$1022, MATCH(1, ('테스트 실행 로그'!C$6:C$1022=C7)*('테스트 실행 로그'!H$6:H$1022=MAX(IF('테스트 실행 로그'!C$6:C$1022=C7, '테스트 실행 로그'!H$6:H$1022))), 0)))=0,"이슈 없음",INDEX('테스트 실행 로그'!I$6:I$1022, MATCH(1, ('테스트 실행 로그'!C$6:C$1022=C7)*('테스트 실행 로그'!H$6:H$1022=MAX(IF('테스트 실행 로그'!C$6:C$1022=C7, '테스트 실행 로그'!H$6:H$1022))), 0))),"이슈 없음")</f>
        <v>이슈 없음</v>
      </c>
    </row>
    <row r="8" spans="1:9" x14ac:dyDescent="0.3">
      <c r="A8" s="41"/>
      <c r="B8" s="42"/>
      <c r="C8" s="3" t="s">
        <v>147</v>
      </c>
      <c r="D8" s="4" t="s">
        <v>17</v>
      </c>
      <c r="E8" s="5" t="s">
        <v>18</v>
      </c>
      <c r="F8" s="4" t="s">
        <v>19</v>
      </c>
      <c r="G8" s="18" t="str" cm="1">
        <f t="array" ref="G8">IFERROR( IF(LEN(INDEX('테스트 실행 로그'!G$6:G$1022, MATCH(1, ('테스트 실행 로그'!C$6:C$1022=C8)*('테스트 실행 로그'!H$6:H$1022=MAX(IF(('테스트 실행 로그'!C$6:C$1022=C8)*('테스트 실행 로그'!H$6:H$1022&lt;&gt;""), '테스트 실행 로그'!H$6:H$1022))), 0)))=0, "결과 없음", INDEX('테스트 실행 로그'!G$6:G$1022, MATCH(1, ('테스트 실행 로그'!C$6:C$1022=C8)*('테스트 실행 로그'!H$6:H$1022=MAX(IF(('테스트 실행 로그'!C$6:C$1022=C8)*('테스트 실행 로그'!H$6:H$1022&lt;&gt;""), '테스트 실행 로그'!H$6:H$1022))), 0))), "결과 없음" )</f>
        <v>Y</v>
      </c>
      <c r="H8" s="19" cm="1">
        <f t="array" ref="H8">IFERROR( IF(MAX(IF(('테스트 실행 로그'!C$6:C$1022=C8)*('테스트 실행 로그'!H$6:H$1022&lt;&gt;""), '테스트 실행 로그'!H$6:H$1022))=0, "날짜 없음", MAX(IF(('테스트 실행 로그'!C$6:C$1022=C8)*('테스트 실행 로그'!H$6:H$1022&lt;&gt;""), '테스트 실행 로그'!H$6:H$1022))), "날짜 없음" )</f>
        <v>45757</v>
      </c>
      <c r="I8" s="34" t="str" cm="1">
        <f t="array" ref="I8">IFERROR(IF(LEN(INDEX('테스트 실행 로그'!I$6:I$1022, MATCH(1, ('테스트 실행 로그'!C$6:C$1022=C8)*('테스트 실행 로그'!H$6:H$1022=MAX(IF('테스트 실행 로그'!C$6:C$1022=C8, '테스트 실행 로그'!H$6:H$1022))), 0)))=0,"이슈 없음",INDEX('테스트 실행 로그'!I$6:I$1022, MATCH(1, ('테스트 실행 로그'!C$6:C$1022=C8)*('테스트 실행 로그'!H$6:H$1022=MAX(IF('테스트 실행 로그'!C$6:C$1022=C8, '테스트 실행 로그'!H$6:H$1022))), 0))),"이슈 없음")</f>
        <v>이슈 없음</v>
      </c>
    </row>
    <row r="9" spans="1:9" ht="27" x14ac:dyDescent="0.3">
      <c r="A9" s="41"/>
      <c r="B9" s="42"/>
      <c r="C9" s="3" t="s">
        <v>148</v>
      </c>
      <c r="D9" s="4" t="s">
        <v>209</v>
      </c>
      <c r="E9" s="5" t="s">
        <v>20</v>
      </c>
      <c r="F9" s="4" t="s">
        <v>99</v>
      </c>
      <c r="G9" s="18" t="str" cm="1">
        <f t="array" ref="G9">IFERROR( IF(LEN(INDEX('테스트 실행 로그'!G$6:G$1022, MATCH(1, ('테스트 실행 로그'!C$6:C$1022=C9)*('테스트 실행 로그'!H$6:H$1022=MAX(IF(('테스트 실행 로그'!C$6:C$1022=C9)*('테스트 실행 로그'!H$6:H$1022&lt;&gt;""), '테스트 실행 로그'!H$6:H$1022))), 0)))=0, "결과 없음", INDEX('테스트 실행 로그'!G$6:G$1022, MATCH(1, ('테스트 실행 로그'!C$6:C$1022=C9)*('테스트 실행 로그'!H$6:H$1022=MAX(IF(('테스트 실행 로그'!C$6:C$1022=C9)*('테스트 실행 로그'!H$6:H$1022&lt;&gt;""), '테스트 실행 로그'!H$6:H$1022))), 0))), "결과 없음" )</f>
        <v>Y</v>
      </c>
      <c r="H9" s="19" cm="1">
        <f t="array" ref="H9">IFERROR( IF(MAX(IF(('테스트 실행 로그'!C$6:C$1022=C9)*('테스트 실행 로그'!H$6:H$1022&lt;&gt;""), '테스트 실행 로그'!H$6:H$1022))=0, "날짜 없음", MAX(IF(('테스트 실행 로그'!C$6:C$1022=C9)*('테스트 실행 로그'!H$6:H$1022&lt;&gt;""), '테스트 실행 로그'!H$6:H$1022))), "날짜 없음" )</f>
        <v>45747</v>
      </c>
      <c r="I9" s="34" t="str" cm="1">
        <f t="array" ref="I9">IFERROR(IF(LEN(INDEX('테스트 실행 로그'!I$6:I$1022, MATCH(1, ('테스트 실행 로그'!C$6:C$1022=C9)*('테스트 실행 로그'!H$6:H$1022=MAX(IF('테스트 실행 로그'!C$6:C$1022=C9, '테스트 실행 로그'!H$6:H$1022))), 0)))=0,"이슈 없음",INDEX('테스트 실행 로그'!I$6:I$1022, MATCH(1, ('테스트 실행 로그'!C$6:C$1022=C9)*('테스트 실행 로그'!H$6:H$1022=MAX(IF('테스트 실행 로그'!C$6:C$1022=C9, '테스트 실행 로그'!H$6:H$1022))), 0))),"이슈 없음")</f>
        <v>이슈 없음</v>
      </c>
    </row>
    <row r="10" spans="1:9" ht="27" x14ac:dyDescent="0.3">
      <c r="A10" s="41"/>
      <c r="B10" s="42"/>
      <c r="C10" s="3" t="s">
        <v>149</v>
      </c>
      <c r="D10" s="4" t="s">
        <v>210</v>
      </c>
      <c r="E10" s="5" t="s">
        <v>21</v>
      </c>
      <c r="F10" s="4" t="s">
        <v>22</v>
      </c>
      <c r="G10" s="18" t="str" cm="1">
        <f t="array" ref="G10">IFERROR( IF(LEN(INDEX('테스트 실행 로그'!G$6:G$1022, MATCH(1, ('테스트 실행 로그'!C$6:C$1022=C10)*('테스트 실행 로그'!H$6:H$1022=MAX(IF(('테스트 실행 로그'!C$6:C$1022=C10)*('테스트 실행 로그'!H$6:H$1022&lt;&gt;""), '테스트 실행 로그'!H$6:H$1022))), 0)))=0, "결과 없음", INDEX('테스트 실행 로그'!G$6:G$1022, MATCH(1, ('테스트 실행 로그'!C$6:C$1022=C10)*('테스트 실행 로그'!H$6:H$1022=MAX(IF(('테스트 실행 로그'!C$6:C$1022=C10)*('테스트 실행 로그'!H$6:H$1022&lt;&gt;""), '테스트 실행 로그'!H$6:H$1022))), 0))), "결과 없음" )</f>
        <v>Y</v>
      </c>
      <c r="H10" s="19" cm="1">
        <f t="array" ref="H10">IFERROR( IF(MAX(IF(('테스트 실행 로그'!C$6:C$1022=C10)*('테스트 실행 로그'!H$6:H$1022&lt;&gt;""), '테스트 실행 로그'!H$6:H$1022))=0, "날짜 없음", MAX(IF(('테스트 실행 로그'!C$6:C$1022=C10)*('테스트 실행 로그'!H$6:H$1022&lt;&gt;""), '테스트 실행 로그'!H$6:H$1022))), "날짜 없음" )</f>
        <v>45747</v>
      </c>
      <c r="I10" s="34" t="str" cm="1">
        <f t="array" ref="I10">IFERROR(IF(LEN(INDEX('테스트 실행 로그'!I$6:I$1022, MATCH(1, ('테스트 실행 로그'!C$6:C$1022=C10)*('테스트 실행 로그'!H$6:H$1022=MAX(IF('테스트 실행 로그'!C$6:C$1022=C10, '테스트 실행 로그'!H$6:H$1022))), 0)))=0,"이슈 없음",INDEX('테스트 실행 로그'!I$6:I$1022, MATCH(1, ('테스트 실행 로그'!C$6:C$1022=C10)*('테스트 실행 로그'!H$6:H$1022=MAX(IF('테스트 실행 로그'!C$6:C$1022=C10, '테스트 실행 로그'!H$6:H$1022))), 0))),"이슈 없음")</f>
        <v>이슈 없음</v>
      </c>
    </row>
    <row r="11" spans="1:9" x14ac:dyDescent="0.3">
      <c r="A11" s="41"/>
      <c r="B11" s="42"/>
      <c r="C11" s="3" t="s">
        <v>150</v>
      </c>
      <c r="D11" s="4" t="s">
        <v>23</v>
      </c>
      <c r="E11" s="5" t="s">
        <v>24</v>
      </c>
      <c r="F11" s="5" t="s">
        <v>25</v>
      </c>
      <c r="G11" s="18" t="str" cm="1">
        <f t="array" ref="G11">IFERROR( IF(LEN(INDEX('테스트 실행 로그'!G$6:G$1022, MATCH(1, ('테스트 실행 로그'!C$6:C$1022=C11)*('테스트 실행 로그'!H$6:H$1022=MAX(IF(('테스트 실행 로그'!C$6:C$1022=C11)*('테스트 실행 로그'!H$6:H$1022&lt;&gt;""), '테스트 실행 로그'!H$6:H$1022))), 0)))=0, "결과 없음", INDEX('테스트 실행 로그'!G$6:G$1022, MATCH(1, ('테스트 실행 로그'!C$6:C$1022=C11)*('테스트 실행 로그'!H$6:H$1022=MAX(IF(('테스트 실행 로그'!C$6:C$1022=C11)*('테스트 실행 로그'!H$6:H$1022&lt;&gt;""), '테스트 실행 로그'!H$6:H$1022))), 0))), "결과 없음" )</f>
        <v>Y</v>
      </c>
      <c r="H11" s="19" cm="1">
        <f t="array" ref="H11">IFERROR( IF(MAX(IF(('테스트 실행 로그'!C$6:C$1022=C11)*('테스트 실행 로그'!H$6:H$1022&lt;&gt;""), '테스트 실행 로그'!H$6:H$1022))=0, "날짜 없음", MAX(IF(('테스트 실행 로그'!C$6:C$1022=C11)*('테스트 실행 로그'!H$6:H$1022&lt;&gt;""), '테스트 실행 로그'!H$6:H$1022))), "날짜 없음" )</f>
        <v>45747</v>
      </c>
      <c r="I11" s="34" t="str" cm="1">
        <f t="array" ref="I11">IFERROR(IF(LEN(INDEX('테스트 실행 로그'!I$6:I$1022, MATCH(1, ('테스트 실행 로그'!C$6:C$1022=C11)*('테스트 실행 로그'!H$6:H$1022=MAX(IF('테스트 실행 로그'!C$6:C$1022=C11, '테스트 실행 로그'!H$6:H$1022))), 0)))=0,"이슈 없음",INDEX('테스트 실행 로그'!I$6:I$1022, MATCH(1, ('테스트 실행 로그'!C$6:C$1022=C11)*('테스트 실행 로그'!H$6:H$1022=MAX(IF('테스트 실행 로그'!C$6:C$1022=C11, '테스트 실행 로그'!H$6:H$1022))), 0))),"이슈 없음")</f>
        <v>이슈 없음</v>
      </c>
    </row>
    <row r="12" spans="1:9" ht="27" x14ac:dyDescent="0.3">
      <c r="A12" s="41"/>
      <c r="B12" s="42"/>
      <c r="C12" s="3" t="s">
        <v>151</v>
      </c>
      <c r="D12" s="4" t="s">
        <v>62</v>
      </c>
      <c r="E12" s="5" t="s">
        <v>26</v>
      </c>
      <c r="F12" s="4" t="s">
        <v>27</v>
      </c>
      <c r="G12" s="18" t="str" cm="1">
        <f t="array" ref="G12">IFERROR( IF(LEN(INDEX('테스트 실행 로그'!G$6:G$1022, MATCH(1, ('테스트 실행 로그'!C$6:C$1022=C12)*('테스트 실행 로그'!H$6:H$1022=MAX(IF(('테스트 실행 로그'!C$6:C$1022=C12)*('테스트 실행 로그'!H$6:H$1022&lt;&gt;""), '테스트 실행 로그'!H$6:H$1022))), 0)))=0, "결과 없음", INDEX('테스트 실행 로그'!G$6:G$1022, MATCH(1, ('테스트 실행 로그'!C$6:C$1022=C12)*('테스트 실행 로그'!H$6:H$1022=MAX(IF(('테스트 실행 로그'!C$6:C$1022=C12)*('테스트 실행 로그'!H$6:H$1022&lt;&gt;""), '테스트 실행 로그'!H$6:H$1022))), 0))), "결과 없음" )</f>
        <v>Y</v>
      </c>
      <c r="H12" s="19" cm="1">
        <f t="array" ref="H12">IFERROR( IF(MAX(IF(('테스트 실행 로그'!C$6:C$1022=C12)*('테스트 실행 로그'!H$6:H$1022&lt;&gt;""), '테스트 실행 로그'!H$6:H$1022))=0, "날짜 없음", MAX(IF(('테스트 실행 로그'!C$6:C$1022=C12)*('테스트 실행 로그'!H$6:H$1022&lt;&gt;""), '테스트 실행 로그'!H$6:H$1022))), "날짜 없음" )</f>
        <v>45757</v>
      </c>
      <c r="I12" s="34" t="str" cm="1">
        <f t="array" ref="I12">IFERROR(IF(LEN(INDEX('테스트 실행 로그'!I$6:I$1022, MATCH(1, ('테스트 실행 로그'!C$6:C$1022=C12)*('테스트 실행 로그'!H$6:H$1022=MAX(IF('테스트 실행 로그'!C$6:C$1022=C12, '테스트 실행 로그'!H$6:H$1022))), 0)))=0,"이슈 없음",INDEX('테스트 실행 로그'!I$6:I$1022, MATCH(1, ('테스트 실행 로그'!C$6:C$1022=C12)*('테스트 실행 로그'!H$6:H$1022=MAX(IF('테스트 실행 로그'!C$6:C$1022=C12, '테스트 실행 로그'!H$6:H$1022))), 0))),"이슈 없음")</f>
        <v>이슈 없음</v>
      </c>
    </row>
    <row r="13" spans="1:9" ht="27" x14ac:dyDescent="0.3">
      <c r="A13" s="41"/>
      <c r="B13" s="42"/>
      <c r="C13" s="3" t="s">
        <v>152</v>
      </c>
      <c r="D13" s="4" t="s">
        <v>63</v>
      </c>
      <c r="E13" s="5" t="s">
        <v>28</v>
      </c>
      <c r="F13" s="4" t="s">
        <v>29</v>
      </c>
      <c r="G13" s="18" t="str" cm="1">
        <f t="array" ref="G13">IFERROR( IF(LEN(INDEX('테스트 실행 로그'!G$6:G$1022, MATCH(1, ('테스트 실행 로그'!C$6:C$1022=C13)*('테스트 실행 로그'!H$6:H$1022=MAX(IF(('테스트 실행 로그'!C$6:C$1022=C13)*('테스트 실행 로그'!H$6:H$1022&lt;&gt;""), '테스트 실행 로그'!H$6:H$1022))), 0)))=0, "결과 없음", INDEX('테스트 실행 로그'!G$6:G$1022, MATCH(1, ('테스트 실행 로그'!C$6:C$1022=C13)*('테스트 실행 로그'!H$6:H$1022=MAX(IF(('테스트 실행 로그'!C$6:C$1022=C13)*('테스트 실행 로그'!H$6:H$1022&lt;&gt;""), '테스트 실행 로그'!H$6:H$1022))), 0))), "결과 없음" )</f>
        <v>Y</v>
      </c>
      <c r="H13" s="19" cm="1">
        <f t="array" ref="H13">IFERROR( IF(MAX(IF(('테스트 실행 로그'!C$6:C$1022=C13)*('테스트 실행 로그'!H$6:H$1022&lt;&gt;""), '테스트 실행 로그'!H$6:H$1022))=0, "날짜 없음", MAX(IF(('테스트 실행 로그'!C$6:C$1022=C13)*('테스트 실행 로그'!H$6:H$1022&lt;&gt;""), '테스트 실행 로그'!H$6:H$1022))), "날짜 없음" )</f>
        <v>45747</v>
      </c>
      <c r="I13" s="34" t="str" cm="1">
        <f t="array" ref="I13">IFERROR(IF(LEN(INDEX('테스트 실행 로그'!I$6:I$1022, MATCH(1, ('테스트 실행 로그'!C$6:C$1022=C13)*('테스트 실행 로그'!H$6:H$1022=MAX(IF('테스트 실행 로그'!C$6:C$1022=C13, '테스트 실행 로그'!H$6:H$1022))), 0)))=0,"이슈 없음",INDEX('테스트 실행 로그'!I$6:I$1022, MATCH(1, ('테스트 실행 로그'!C$6:C$1022=C13)*('테스트 실행 로그'!H$6:H$1022=MAX(IF('테스트 실행 로그'!C$6:C$1022=C13, '테스트 실행 로그'!H$6:H$1022))), 0))),"이슈 없음")</f>
        <v>이슈 없음</v>
      </c>
    </row>
    <row r="14" spans="1:9" ht="27" x14ac:dyDescent="0.3">
      <c r="A14" s="41"/>
      <c r="B14" s="42"/>
      <c r="C14" s="3" t="s">
        <v>153</v>
      </c>
      <c r="D14" s="4" t="s">
        <v>30</v>
      </c>
      <c r="E14" s="5" t="s">
        <v>31</v>
      </c>
      <c r="F14" s="4" t="s">
        <v>32</v>
      </c>
      <c r="G14" s="18" t="str" cm="1">
        <f t="array" ref="G14">IFERROR( IF(LEN(INDEX('테스트 실행 로그'!G$6:G$1022, MATCH(1, ('테스트 실행 로그'!C$6:C$1022=C14)*('테스트 실행 로그'!H$6:H$1022=MAX(IF(('테스트 실행 로그'!C$6:C$1022=C14)*('테스트 실행 로그'!H$6:H$1022&lt;&gt;""), '테스트 실행 로그'!H$6:H$1022))), 0)))=0, "결과 없음", INDEX('테스트 실행 로그'!G$6:G$1022, MATCH(1, ('테스트 실행 로그'!C$6:C$1022=C14)*('테스트 실행 로그'!H$6:H$1022=MAX(IF(('테스트 실행 로그'!C$6:C$1022=C14)*('테스트 실행 로그'!H$6:H$1022&lt;&gt;""), '테스트 실행 로그'!H$6:H$1022))), 0))), "결과 없음" )</f>
        <v>Y</v>
      </c>
      <c r="H14" s="19" cm="1">
        <f t="array" ref="H14">IFERROR( IF(MAX(IF(('테스트 실행 로그'!C$6:C$1022=C14)*('테스트 실행 로그'!H$6:H$1022&lt;&gt;""), '테스트 실행 로그'!H$6:H$1022))=0, "날짜 없음", MAX(IF(('테스트 실행 로그'!C$6:C$1022=C14)*('테스트 실행 로그'!H$6:H$1022&lt;&gt;""), '테스트 실행 로그'!H$6:H$1022))), "날짜 없음" )</f>
        <v>45747</v>
      </c>
      <c r="I14" s="34" t="str" cm="1">
        <f t="array" ref="I14">IFERROR(IF(LEN(INDEX('테스트 실행 로그'!I$6:I$1022, MATCH(1, ('테스트 실행 로그'!C$6:C$1022=C14)*('테스트 실행 로그'!H$6:H$1022=MAX(IF('테스트 실행 로그'!C$6:C$1022=C14, '테스트 실행 로그'!H$6:H$1022))), 0)))=0,"이슈 없음",INDEX('테스트 실행 로그'!I$6:I$1022, MATCH(1, ('테스트 실행 로그'!C$6:C$1022=C14)*('테스트 실행 로그'!H$6:H$1022=MAX(IF('테스트 실행 로그'!C$6:C$1022=C14, '테스트 실행 로그'!H$6:H$1022))), 0))),"이슈 없음")</f>
        <v>이슈 없음</v>
      </c>
    </row>
    <row r="15" spans="1:9" ht="27" x14ac:dyDescent="0.3">
      <c r="A15" s="41"/>
      <c r="B15" s="42"/>
      <c r="C15" s="3" t="s">
        <v>154</v>
      </c>
      <c r="D15" s="4" t="s">
        <v>33</v>
      </c>
      <c r="E15" s="5" t="s">
        <v>104</v>
      </c>
      <c r="F15" s="4" t="s">
        <v>32</v>
      </c>
      <c r="G15" s="18" t="str" cm="1">
        <f t="array" ref="G15">IFERROR( IF(LEN(INDEX('테스트 실행 로그'!G$6:G$1022, MATCH(1, ('테스트 실행 로그'!C$6:C$1022=C15)*('테스트 실행 로그'!H$6:H$1022=MAX(IF(('테스트 실행 로그'!C$6:C$1022=C15)*('테스트 실행 로그'!H$6:H$1022&lt;&gt;""), '테스트 실행 로그'!H$6:H$1022))), 0)))=0, "결과 없음", INDEX('테스트 실행 로그'!G$6:G$1022, MATCH(1, ('테스트 실행 로그'!C$6:C$1022=C15)*('테스트 실행 로그'!H$6:H$1022=MAX(IF(('테스트 실행 로그'!C$6:C$1022=C15)*('테스트 실행 로그'!H$6:H$1022&lt;&gt;""), '테스트 실행 로그'!H$6:H$1022))), 0))), "결과 없음" )</f>
        <v>Y</v>
      </c>
      <c r="H15" s="19" cm="1">
        <f t="array" ref="H15">IFERROR( IF(MAX(IF(('테스트 실행 로그'!C$6:C$1022=C15)*('테스트 실행 로그'!H$6:H$1022&lt;&gt;""), '테스트 실행 로그'!H$6:H$1022))=0, "날짜 없음", MAX(IF(('테스트 실행 로그'!C$6:C$1022=C15)*('테스트 실행 로그'!H$6:H$1022&lt;&gt;""), '테스트 실행 로그'!H$6:H$1022))), "날짜 없음" )</f>
        <v>45747</v>
      </c>
      <c r="I15" s="34" t="str" cm="1">
        <f t="array" ref="I15">IFERROR(IF(LEN(INDEX('테스트 실행 로그'!I$6:I$1022, MATCH(1, ('테스트 실행 로그'!C$6:C$1022=C15)*('테스트 실행 로그'!H$6:H$1022=MAX(IF('테스트 실행 로그'!C$6:C$1022=C15, '테스트 실행 로그'!H$6:H$1022))), 0)))=0,"이슈 없음",INDEX('테스트 실행 로그'!I$6:I$1022, MATCH(1, ('테스트 실행 로그'!C$6:C$1022=C15)*('테스트 실행 로그'!H$6:H$1022=MAX(IF('테스트 실행 로그'!C$6:C$1022=C15, '테스트 실행 로그'!H$6:H$1022))), 0))),"이슈 없음")</f>
        <v>이슈 없음</v>
      </c>
    </row>
    <row r="16" spans="1:9" x14ac:dyDescent="0.3">
      <c r="A16" s="41"/>
      <c r="B16" s="42" t="s">
        <v>248</v>
      </c>
      <c r="C16" s="3" t="s">
        <v>155</v>
      </c>
      <c r="D16" s="5" t="s">
        <v>34</v>
      </c>
      <c r="E16" s="5" t="s">
        <v>35</v>
      </c>
      <c r="F16" s="4" t="s">
        <v>36</v>
      </c>
      <c r="G16" s="18" t="str" cm="1">
        <f t="array" ref="G16">IFERROR( IF(LEN(INDEX('테스트 실행 로그'!G$6:G$1022, MATCH(1, ('테스트 실행 로그'!C$6:C$1022=C16)*('테스트 실행 로그'!H$6:H$1022=MAX(IF(('테스트 실행 로그'!C$6:C$1022=C16)*('테스트 실행 로그'!H$6:H$1022&lt;&gt;""), '테스트 실행 로그'!H$6:H$1022))), 0)))=0, "결과 없음", INDEX('테스트 실행 로그'!G$6:G$1022, MATCH(1, ('테스트 실행 로그'!C$6:C$1022=C16)*('테스트 실행 로그'!H$6:H$1022=MAX(IF(('테스트 실행 로그'!C$6:C$1022=C16)*('테스트 실행 로그'!H$6:H$1022&lt;&gt;""), '테스트 실행 로그'!H$6:H$1022))), 0))), "결과 없음" )</f>
        <v>Y</v>
      </c>
      <c r="H16" s="19" cm="1">
        <f t="array" ref="H16">IFERROR( IF(MAX(IF(('테스트 실행 로그'!C$6:C$1022=C16)*('테스트 실행 로그'!H$6:H$1022&lt;&gt;""), '테스트 실행 로그'!H$6:H$1022))=0, "날짜 없음", MAX(IF(('테스트 실행 로그'!C$6:C$1022=C16)*('테스트 실행 로그'!H$6:H$1022&lt;&gt;""), '테스트 실행 로그'!H$6:H$1022))), "날짜 없음" )</f>
        <v>45747</v>
      </c>
      <c r="I16" s="34" t="str" cm="1">
        <f t="array" ref="I16">IFERROR(IF(LEN(INDEX('테스트 실행 로그'!I$6:I$1022, MATCH(1, ('테스트 실행 로그'!C$6:C$1022=C16)*('테스트 실행 로그'!H$6:H$1022=MAX(IF('테스트 실행 로그'!C$6:C$1022=C16, '테스트 실행 로그'!H$6:H$1022))), 0)))=0,"이슈 없음",INDEX('테스트 실행 로그'!I$6:I$1022, MATCH(1, ('테스트 실행 로그'!C$6:C$1022=C16)*('테스트 실행 로그'!H$6:H$1022=MAX(IF('테스트 실행 로그'!C$6:C$1022=C16, '테스트 실행 로그'!H$6:H$1022))), 0))),"이슈 없음")</f>
        <v>이슈 없음</v>
      </c>
    </row>
    <row r="17" spans="1:9" x14ac:dyDescent="0.3">
      <c r="A17" s="41"/>
      <c r="B17" s="42"/>
      <c r="C17" s="3" t="s">
        <v>156</v>
      </c>
      <c r="D17" s="4" t="s">
        <v>37</v>
      </c>
      <c r="E17" s="5" t="s">
        <v>38</v>
      </c>
      <c r="F17" s="4" t="s">
        <v>36</v>
      </c>
      <c r="G17" s="18" t="str" cm="1">
        <f t="array" ref="G17">IFERROR( IF(LEN(INDEX('테스트 실행 로그'!G$6:G$1022, MATCH(1, ('테스트 실행 로그'!C$6:C$1022=C17)*('테스트 실행 로그'!H$6:H$1022=MAX(IF(('테스트 실행 로그'!C$6:C$1022=C17)*('테스트 실행 로그'!H$6:H$1022&lt;&gt;""), '테스트 실행 로그'!H$6:H$1022))), 0)))=0, "결과 없음", INDEX('테스트 실행 로그'!G$6:G$1022, MATCH(1, ('테스트 실행 로그'!C$6:C$1022=C17)*('테스트 실행 로그'!H$6:H$1022=MAX(IF(('테스트 실행 로그'!C$6:C$1022=C17)*('테스트 실행 로그'!H$6:H$1022&lt;&gt;""), '테스트 실행 로그'!H$6:H$1022))), 0))), "결과 없음" )</f>
        <v>Y</v>
      </c>
      <c r="H17" s="19" cm="1">
        <f t="array" ref="H17">IFERROR( IF(MAX(IF(('테스트 실행 로그'!C$6:C$1022=C17)*('테스트 실행 로그'!H$6:H$1022&lt;&gt;""), '테스트 실행 로그'!H$6:H$1022))=0, "날짜 없음", MAX(IF(('테스트 실행 로그'!C$6:C$1022=C17)*('테스트 실행 로그'!H$6:H$1022&lt;&gt;""), '테스트 실행 로그'!H$6:H$1022))), "날짜 없음" )</f>
        <v>45747</v>
      </c>
      <c r="I17" s="34" t="str" cm="1">
        <f t="array" ref="I17">IFERROR(IF(LEN(INDEX('테스트 실행 로그'!I$6:I$1022, MATCH(1, ('테스트 실행 로그'!C$6:C$1022=C17)*('테스트 실행 로그'!H$6:H$1022=MAX(IF('테스트 실행 로그'!C$6:C$1022=C17, '테스트 실행 로그'!H$6:H$1022))), 0)))=0,"이슈 없음",INDEX('테스트 실행 로그'!I$6:I$1022, MATCH(1, ('테스트 실행 로그'!C$6:C$1022=C17)*('테스트 실행 로그'!H$6:H$1022=MAX(IF('테스트 실행 로그'!C$6:C$1022=C17, '테스트 실행 로그'!H$6:H$1022))), 0))),"이슈 없음")</f>
        <v>이슈 없음</v>
      </c>
    </row>
    <row r="18" spans="1:9" ht="27" x14ac:dyDescent="0.3">
      <c r="A18" s="41"/>
      <c r="B18" s="44" t="s">
        <v>244</v>
      </c>
      <c r="C18" s="3" t="s">
        <v>157</v>
      </c>
      <c r="D18" s="4" t="s">
        <v>211</v>
      </c>
      <c r="E18" s="4" t="s">
        <v>39</v>
      </c>
      <c r="F18" s="4" t="s">
        <v>40</v>
      </c>
      <c r="G18" s="18" t="str" cm="1">
        <f t="array" ref="G18">IFERROR( IF(LEN(INDEX('테스트 실행 로그'!G$6:G$1022, MATCH(1, ('테스트 실행 로그'!C$6:C$1022=C18)*('테스트 실행 로그'!H$6:H$1022=MAX(IF(('테스트 실행 로그'!C$6:C$1022=C18)*('테스트 실행 로그'!H$6:H$1022&lt;&gt;""), '테스트 실행 로그'!H$6:H$1022))), 0)))=0, "결과 없음", INDEX('테스트 실행 로그'!G$6:G$1022, MATCH(1, ('테스트 실행 로그'!C$6:C$1022=C18)*('테스트 실행 로그'!H$6:H$1022=MAX(IF(('테스트 실행 로그'!C$6:C$1022=C18)*('테스트 실행 로그'!H$6:H$1022&lt;&gt;""), '테스트 실행 로그'!H$6:H$1022))), 0))), "결과 없음" )</f>
        <v>Y</v>
      </c>
      <c r="H18" s="19" cm="1">
        <f t="array" ref="H18">IFERROR( IF(MAX(IF(('테스트 실행 로그'!C$6:C$1022=C18)*('테스트 실행 로그'!H$6:H$1022&lt;&gt;""), '테스트 실행 로그'!H$6:H$1022))=0, "날짜 없음", MAX(IF(('테스트 실행 로그'!C$6:C$1022=C18)*('테스트 실행 로그'!H$6:H$1022&lt;&gt;""), '테스트 실행 로그'!H$6:H$1022))), "날짜 없음" )</f>
        <v>45747</v>
      </c>
      <c r="I18" s="34" t="str" cm="1">
        <f t="array" ref="I18">IFERROR(IF(LEN(INDEX('테스트 실행 로그'!I$6:I$1022, MATCH(1, ('테스트 실행 로그'!C$6:C$1022=C18)*('테스트 실행 로그'!H$6:H$1022=MAX(IF('테스트 실행 로그'!C$6:C$1022=C18, '테스트 실행 로그'!H$6:H$1022))), 0)))=0,"이슈 없음",INDEX('테스트 실행 로그'!I$6:I$1022, MATCH(1, ('테스트 실행 로그'!C$6:C$1022=C18)*('테스트 실행 로그'!H$6:H$1022=MAX(IF('테스트 실행 로그'!C$6:C$1022=C18, '테스트 실행 로그'!H$6:H$1022))), 0))),"이슈 없음")</f>
        <v>이슈 없음</v>
      </c>
    </row>
    <row r="19" spans="1:9" ht="27" x14ac:dyDescent="0.3">
      <c r="A19" s="41"/>
      <c r="B19" s="44"/>
      <c r="C19" s="3" t="s">
        <v>158</v>
      </c>
      <c r="D19" s="4" t="s">
        <v>212</v>
      </c>
      <c r="E19" s="4" t="s">
        <v>41</v>
      </c>
      <c r="F19" s="4" t="s">
        <v>42</v>
      </c>
      <c r="G19" s="18" t="str" cm="1">
        <f t="array" ref="G19">IFERROR( IF(LEN(INDEX('테스트 실행 로그'!G$6:G$1022, MATCH(1, ('테스트 실행 로그'!C$6:C$1022=C19)*('테스트 실행 로그'!H$6:H$1022=MAX(IF(('테스트 실행 로그'!C$6:C$1022=C19)*('테스트 실행 로그'!H$6:H$1022&lt;&gt;""), '테스트 실행 로그'!H$6:H$1022))), 0)))=0, "결과 없음", INDEX('테스트 실행 로그'!G$6:G$1022, MATCH(1, ('테스트 실행 로그'!C$6:C$1022=C19)*('테스트 실행 로그'!H$6:H$1022=MAX(IF(('테스트 실행 로그'!C$6:C$1022=C19)*('테스트 실행 로그'!H$6:H$1022&lt;&gt;""), '테스트 실행 로그'!H$6:H$1022))), 0))), "결과 없음" )</f>
        <v>Y</v>
      </c>
      <c r="H19" s="19" cm="1">
        <f t="array" ref="H19">IFERROR( IF(MAX(IF(('테스트 실행 로그'!C$6:C$1022=C19)*('테스트 실행 로그'!H$6:H$1022&lt;&gt;""), '테스트 실행 로그'!H$6:H$1022))=0, "날짜 없음", MAX(IF(('테스트 실행 로그'!C$6:C$1022=C19)*('테스트 실행 로그'!H$6:H$1022&lt;&gt;""), '테스트 실행 로그'!H$6:H$1022))), "날짜 없음" )</f>
        <v>45747</v>
      </c>
      <c r="I19" s="34" t="str" cm="1">
        <f t="array" ref="I19">IFERROR(IF(LEN(INDEX('테스트 실행 로그'!I$6:I$1022, MATCH(1, ('테스트 실행 로그'!C$6:C$1022=C19)*('테스트 실행 로그'!H$6:H$1022=MAX(IF('테스트 실행 로그'!C$6:C$1022=C19, '테스트 실행 로그'!H$6:H$1022))), 0)))=0,"이슈 없음",INDEX('테스트 실행 로그'!I$6:I$1022, MATCH(1, ('테스트 실행 로그'!C$6:C$1022=C19)*('테스트 실행 로그'!H$6:H$1022=MAX(IF('테스트 실행 로그'!C$6:C$1022=C19, '테스트 실행 로그'!H$6:H$1022))), 0))),"이슈 없음")</f>
        <v>이슈 없음</v>
      </c>
    </row>
    <row r="20" spans="1:9" ht="54" x14ac:dyDescent="0.3">
      <c r="A20" s="41"/>
      <c r="B20" s="3" t="s">
        <v>245</v>
      </c>
      <c r="C20" s="3" t="s">
        <v>159</v>
      </c>
      <c r="D20" s="5" t="s">
        <v>43</v>
      </c>
      <c r="E20" s="5" t="s">
        <v>44</v>
      </c>
      <c r="F20" s="6" t="s">
        <v>60</v>
      </c>
      <c r="G20" s="18" t="str" cm="1">
        <f t="array" ref="G20">IFERROR( IF(LEN(INDEX('테스트 실행 로그'!G$6:G$1022, MATCH(1, ('테스트 실행 로그'!C$6:C$1022=C20)*('테스트 실행 로그'!H$6:H$1022=MAX(IF(('테스트 실행 로그'!C$6:C$1022=C20)*('테스트 실행 로그'!H$6:H$1022&lt;&gt;""), '테스트 실행 로그'!H$6:H$1022))), 0)))=0, "결과 없음", INDEX('테스트 실행 로그'!G$6:G$1022, MATCH(1, ('테스트 실행 로그'!C$6:C$1022=C20)*('테스트 실행 로그'!H$6:H$1022=MAX(IF(('테스트 실행 로그'!C$6:C$1022=C20)*('테스트 실행 로그'!H$6:H$1022&lt;&gt;""), '테스트 실행 로그'!H$6:H$1022))), 0))), "결과 없음" )</f>
        <v>Y</v>
      </c>
      <c r="H20" s="19" cm="1">
        <f t="array" ref="H20">IFERROR( IF(MAX(IF(('테스트 실행 로그'!C$6:C$1022=C20)*('테스트 실행 로그'!H$6:H$1022&lt;&gt;""), '테스트 실행 로그'!H$6:H$1022))=0, "날짜 없음", MAX(IF(('테스트 실행 로그'!C$6:C$1022=C20)*('테스트 실행 로그'!H$6:H$1022&lt;&gt;""), '테스트 실행 로그'!H$6:H$1022))), "날짜 없음" )</f>
        <v>45747</v>
      </c>
      <c r="I20" s="34" t="str" cm="1">
        <f t="array" ref="I20">IFERROR(IF(LEN(INDEX('테스트 실행 로그'!I$6:I$1022, MATCH(1, ('테스트 실행 로그'!C$6:C$1022=C20)*('테스트 실행 로그'!H$6:H$1022=MAX(IF('테스트 실행 로그'!C$6:C$1022=C20, '테스트 실행 로그'!H$6:H$1022))), 0)))=0,"이슈 없음",INDEX('테스트 실행 로그'!I$6:I$1022, MATCH(1, ('테스트 실행 로그'!C$6:C$1022=C20)*('테스트 실행 로그'!H$6:H$1022=MAX(IF('테스트 실행 로그'!C$6:C$1022=C20, '테스트 실행 로그'!H$6:H$1022))), 0))),"이슈 없음")</f>
        <v>이슈 없음</v>
      </c>
    </row>
    <row r="21" spans="1:9" ht="27" x14ac:dyDescent="0.3">
      <c r="A21" s="41"/>
      <c r="B21" s="42" t="s">
        <v>246</v>
      </c>
      <c r="C21" s="3" t="s">
        <v>160</v>
      </c>
      <c r="D21" s="5" t="s">
        <v>45</v>
      </c>
      <c r="E21" s="5" t="s">
        <v>46</v>
      </c>
      <c r="F21" s="6" t="s">
        <v>47</v>
      </c>
      <c r="G21" s="18" t="str" cm="1">
        <f t="array" ref="G21">IFERROR( IF(LEN(INDEX('테스트 실행 로그'!G$6:G$1022, MATCH(1, ('테스트 실행 로그'!C$6:C$1022=C21)*('테스트 실행 로그'!H$6:H$1022=MAX(IF(('테스트 실행 로그'!C$6:C$1022=C21)*('테스트 실행 로그'!H$6:H$1022&lt;&gt;""), '테스트 실행 로그'!H$6:H$1022))), 0)))=0, "결과 없음", INDEX('테스트 실행 로그'!G$6:G$1022, MATCH(1, ('테스트 실행 로그'!C$6:C$1022=C21)*('테스트 실행 로그'!H$6:H$1022=MAX(IF(('테스트 실행 로그'!C$6:C$1022=C21)*('테스트 실행 로그'!H$6:H$1022&lt;&gt;""), '테스트 실행 로그'!H$6:H$1022))), 0))), "결과 없음" )</f>
        <v>Y</v>
      </c>
      <c r="H21" s="19" cm="1">
        <f t="array" ref="H21">IFERROR( IF(MAX(IF(('테스트 실행 로그'!C$6:C$1022=C21)*('테스트 실행 로그'!H$6:H$1022&lt;&gt;""), '테스트 실행 로그'!H$6:H$1022))=0, "날짜 없음", MAX(IF(('테스트 실행 로그'!C$6:C$1022=C21)*('테스트 실행 로그'!H$6:H$1022&lt;&gt;""), '테스트 실행 로그'!H$6:H$1022))), "날짜 없음" )</f>
        <v>45807</v>
      </c>
      <c r="I21" s="34" t="str" cm="1">
        <f t="array" ref="I21">IFERROR(IF(LEN(INDEX('테스트 실행 로그'!I$6:I$1022, MATCH(1, ('테스트 실행 로그'!C$6:C$1022=C21)*('테스트 실행 로그'!H$6:H$1022=MAX(IF('테스트 실행 로그'!C$6:C$1022=C21, '테스트 실행 로그'!H$6:H$1022))), 0)))=0,"이슈 없음",INDEX('테스트 실행 로그'!I$6:I$1022, MATCH(1, ('테스트 실행 로그'!C$6:C$1022=C21)*('테스트 실행 로그'!H$6:H$1022=MAX(IF('테스트 실행 로그'!C$6:C$1022=C21, '테스트 실행 로그'!H$6:H$1022))), 0))),"이슈 없음")</f>
        <v>이슈 없음</v>
      </c>
    </row>
    <row r="22" spans="1:9" ht="27" x14ac:dyDescent="0.3">
      <c r="A22" s="41"/>
      <c r="B22" s="42"/>
      <c r="C22" s="3" t="s">
        <v>161</v>
      </c>
      <c r="D22" s="5" t="s">
        <v>48</v>
      </c>
      <c r="E22" s="5" t="s">
        <v>49</v>
      </c>
      <c r="F22" s="6" t="s">
        <v>97</v>
      </c>
      <c r="G22" s="18" t="str" cm="1">
        <f t="array" ref="G22">IFERROR( IF(LEN(INDEX('테스트 실행 로그'!G$6:G$1022, MATCH(1, ('테스트 실행 로그'!C$6:C$1022=C22)*('테스트 실행 로그'!H$6:H$1022=MAX(IF(('테스트 실행 로그'!C$6:C$1022=C22)*('테스트 실행 로그'!H$6:H$1022&lt;&gt;""), '테스트 실행 로그'!H$6:H$1022))), 0)))=0, "결과 없음", INDEX('테스트 실행 로그'!G$6:G$1022, MATCH(1, ('테스트 실행 로그'!C$6:C$1022=C22)*('테스트 실행 로그'!H$6:H$1022=MAX(IF(('테스트 실행 로그'!C$6:C$1022=C22)*('테스트 실행 로그'!H$6:H$1022&lt;&gt;""), '테스트 실행 로그'!H$6:H$1022))), 0))), "결과 없음" )</f>
        <v>Y</v>
      </c>
      <c r="H22" s="19" cm="1">
        <f t="array" ref="H22">IFERROR( IF(MAX(IF(('테스트 실행 로그'!C$6:C$1022=C22)*('테스트 실행 로그'!H$6:H$1022&lt;&gt;""), '테스트 실행 로그'!H$6:H$1022))=0, "날짜 없음", MAX(IF(('테스트 실행 로그'!C$6:C$1022=C22)*('테스트 실행 로그'!H$6:H$1022&lt;&gt;""), '테스트 실행 로그'!H$6:H$1022))), "날짜 없음" )</f>
        <v>45807</v>
      </c>
      <c r="I22" s="34" t="str" cm="1">
        <f t="array" ref="I22">IFERROR(IF(LEN(INDEX('테스트 실행 로그'!I$6:I$1022, MATCH(1, ('테스트 실행 로그'!C$6:C$1022=C22)*('테스트 실행 로그'!H$6:H$1022=MAX(IF('테스트 실행 로그'!C$6:C$1022=C22, '테스트 실행 로그'!H$6:H$1022))), 0)))=0,"이슈 없음",INDEX('테스트 실행 로그'!I$6:I$1022, MATCH(1, ('테스트 실행 로그'!C$6:C$1022=C22)*('테스트 실행 로그'!H$6:H$1022=MAX(IF('테스트 실행 로그'!C$6:C$1022=C22, '테스트 실행 로그'!H$6:H$1022))), 0))),"이슈 없음")</f>
        <v>이슈 없음</v>
      </c>
    </row>
    <row r="23" spans="1:9" ht="27" x14ac:dyDescent="0.3">
      <c r="A23" s="41"/>
      <c r="B23" s="42"/>
      <c r="C23" s="3" t="s">
        <v>162</v>
      </c>
      <c r="D23" s="5" t="s">
        <v>50</v>
      </c>
      <c r="E23" s="5" t="s">
        <v>51</v>
      </c>
      <c r="F23" s="6" t="s">
        <v>96</v>
      </c>
      <c r="G23" s="18" t="str" cm="1">
        <f t="array" ref="G23">IFERROR( IF(LEN(INDEX('테스트 실행 로그'!G$6:G$1022, MATCH(1, ('테스트 실행 로그'!C$6:C$1022=C23)*('테스트 실행 로그'!H$6:H$1022=MAX(IF(('테스트 실행 로그'!C$6:C$1022=C23)*('테스트 실행 로그'!H$6:H$1022&lt;&gt;""), '테스트 실행 로그'!H$6:H$1022))), 0)))=0, "결과 없음", INDEX('테스트 실행 로그'!G$6:G$1022, MATCH(1, ('테스트 실행 로그'!C$6:C$1022=C23)*('테스트 실행 로그'!H$6:H$1022=MAX(IF(('테스트 실행 로그'!C$6:C$1022=C23)*('테스트 실행 로그'!H$6:H$1022&lt;&gt;""), '테스트 실행 로그'!H$6:H$1022))), 0))), "결과 없음" )</f>
        <v>Y</v>
      </c>
      <c r="H23" s="19" cm="1">
        <f t="array" ref="H23">IFERROR( IF(MAX(IF(('테스트 실행 로그'!C$6:C$1022=C23)*('테스트 실행 로그'!H$6:H$1022&lt;&gt;""), '테스트 실행 로그'!H$6:H$1022))=0, "날짜 없음", MAX(IF(('테스트 실행 로그'!C$6:C$1022=C23)*('테스트 실행 로그'!H$6:H$1022&lt;&gt;""), '테스트 실행 로그'!H$6:H$1022))), "날짜 없음" )</f>
        <v>45807</v>
      </c>
      <c r="I23" s="34" t="str" cm="1">
        <f t="array" ref="I23">IFERROR(IF(LEN(INDEX('테스트 실행 로그'!I$6:I$1022, MATCH(1, ('테스트 실행 로그'!C$6:C$1022=C23)*('테스트 실행 로그'!H$6:H$1022=MAX(IF('테스트 실행 로그'!C$6:C$1022=C23, '테스트 실행 로그'!H$6:H$1022))), 0)))=0,"이슈 없음",INDEX('테스트 실행 로그'!I$6:I$1022, MATCH(1, ('테스트 실행 로그'!C$6:C$1022=C23)*('테스트 실행 로그'!H$6:H$1022=MAX(IF('테스트 실행 로그'!C$6:C$1022=C23, '테스트 실행 로그'!H$6:H$1022))), 0))),"이슈 없음")</f>
        <v>이슈 없음</v>
      </c>
    </row>
    <row r="24" spans="1:9" ht="27" x14ac:dyDescent="0.3">
      <c r="A24" s="41"/>
      <c r="B24" s="42"/>
      <c r="C24" s="3" t="s">
        <v>163</v>
      </c>
      <c r="D24" s="5" t="s">
        <v>52</v>
      </c>
      <c r="E24" s="5" t="s">
        <v>53</v>
      </c>
      <c r="F24" s="6" t="s">
        <v>92</v>
      </c>
      <c r="G24" s="18" t="str" cm="1">
        <f t="array" ref="G24">IFERROR( IF(LEN(INDEX('테스트 실행 로그'!G$6:G$1022, MATCH(1, ('테스트 실행 로그'!C$6:C$1022=C24)*('테스트 실행 로그'!H$6:H$1022=MAX(IF(('테스트 실행 로그'!C$6:C$1022=C24)*('테스트 실행 로그'!H$6:H$1022&lt;&gt;""), '테스트 실행 로그'!H$6:H$1022))), 0)))=0, "결과 없음", INDEX('테스트 실행 로그'!G$6:G$1022, MATCH(1, ('테스트 실행 로그'!C$6:C$1022=C24)*('테스트 실행 로그'!H$6:H$1022=MAX(IF(('테스트 실행 로그'!C$6:C$1022=C24)*('테스트 실행 로그'!H$6:H$1022&lt;&gt;""), '테스트 실행 로그'!H$6:H$1022))), 0))), "결과 없음" )</f>
        <v>Y</v>
      </c>
      <c r="H24" s="19" cm="1">
        <f t="array" ref="H24">IFERROR( IF(MAX(IF(('테스트 실행 로그'!C$6:C$1022=C24)*('테스트 실행 로그'!H$6:H$1022&lt;&gt;""), '테스트 실행 로그'!H$6:H$1022))=0, "날짜 없음", MAX(IF(('테스트 실행 로그'!C$6:C$1022=C24)*('테스트 실행 로그'!H$6:H$1022&lt;&gt;""), '테스트 실행 로그'!H$6:H$1022))), "날짜 없음" )</f>
        <v>45807</v>
      </c>
      <c r="I24" s="34" t="str" cm="1">
        <f t="array" ref="I24">IFERROR(IF(LEN(INDEX('테스트 실행 로그'!I$6:I$1022, MATCH(1, ('테스트 실행 로그'!C$6:C$1022=C24)*('테스트 실행 로그'!H$6:H$1022=MAX(IF('테스트 실행 로그'!C$6:C$1022=C24, '테스트 실행 로그'!H$6:H$1022))), 0)))=0,"이슈 없음",INDEX('테스트 실행 로그'!I$6:I$1022, MATCH(1, ('테스트 실행 로그'!C$6:C$1022=C24)*('테스트 실행 로그'!H$6:H$1022=MAX(IF('테스트 실행 로그'!C$6:C$1022=C24, '테스트 실행 로그'!H$6:H$1022))), 0))),"이슈 없음")</f>
        <v>이슈 없음</v>
      </c>
    </row>
    <row r="25" spans="1:9" ht="27" x14ac:dyDescent="0.3">
      <c r="A25" s="41"/>
      <c r="B25" s="42" t="s">
        <v>10</v>
      </c>
      <c r="C25" s="3" t="s">
        <v>164</v>
      </c>
      <c r="D25" s="5" t="s">
        <v>54</v>
      </c>
      <c r="E25" s="5" t="s">
        <v>46</v>
      </c>
      <c r="F25" s="6" t="s">
        <v>93</v>
      </c>
      <c r="G25" s="18" t="str" cm="1">
        <f t="array" ref="G25">IFERROR( IF(LEN(INDEX('테스트 실행 로그'!G$6:G$1022, MATCH(1, ('테스트 실행 로그'!C$6:C$1022=C25)*('테스트 실행 로그'!H$6:H$1022=MAX(IF(('테스트 실행 로그'!C$6:C$1022=C25)*('테스트 실행 로그'!H$6:H$1022&lt;&gt;""), '테스트 실행 로그'!H$6:H$1022))), 0)))=0, "결과 없음", INDEX('테스트 실행 로그'!G$6:G$1022, MATCH(1, ('테스트 실행 로그'!C$6:C$1022=C25)*('테스트 실행 로그'!H$6:H$1022=MAX(IF(('테스트 실행 로그'!C$6:C$1022=C25)*('테스트 실행 로그'!H$6:H$1022&lt;&gt;""), '테스트 실행 로그'!H$6:H$1022))), 0))), "결과 없음" )</f>
        <v>Y</v>
      </c>
      <c r="H25" s="19" cm="1">
        <f t="array" ref="H25">IFERROR( IF(MAX(IF(('테스트 실행 로그'!C$6:C$1022=C25)*('테스트 실행 로그'!H$6:H$1022&lt;&gt;""), '테스트 실행 로그'!H$6:H$1022))=0, "날짜 없음", MAX(IF(('테스트 실행 로그'!C$6:C$1022=C25)*('테스트 실행 로그'!H$6:H$1022&lt;&gt;""), '테스트 실행 로그'!H$6:H$1022))), "날짜 없음" )</f>
        <v>45807</v>
      </c>
      <c r="I25" s="34" t="str" cm="1">
        <f t="array" ref="I25">IFERROR(IF(LEN(INDEX('테스트 실행 로그'!I$6:I$1022, MATCH(1, ('테스트 실행 로그'!C$6:C$1022=C25)*('테스트 실행 로그'!H$6:H$1022=MAX(IF('테스트 실행 로그'!C$6:C$1022=C25, '테스트 실행 로그'!H$6:H$1022))), 0)))=0,"이슈 없음",INDEX('테스트 실행 로그'!I$6:I$1022, MATCH(1, ('테스트 실행 로그'!C$6:C$1022=C25)*('테스트 실행 로그'!H$6:H$1022=MAX(IF('테스트 실행 로그'!C$6:C$1022=C25, '테스트 실행 로그'!H$6:H$1022))), 0))),"이슈 없음")</f>
        <v>이슈 없음</v>
      </c>
    </row>
    <row r="26" spans="1:9" ht="27" x14ac:dyDescent="0.3">
      <c r="A26" s="41"/>
      <c r="B26" s="42"/>
      <c r="C26" s="3" t="s">
        <v>165</v>
      </c>
      <c r="D26" s="5" t="s">
        <v>55</v>
      </c>
      <c r="E26" s="5" t="s">
        <v>49</v>
      </c>
      <c r="F26" s="6" t="s">
        <v>95</v>
      </c>
      <c r="G26" s="18" t="str" cm="1">
        <f t="array" ref="G26">IFERROR( IF(LEN(INDEX('테스트 실행 로그'!G$6:G$1022, MATCH(1, ('테스트 실행 로그'!C$6:C$1022=C26)*('테스트 실행 로그'!H$6:H$1022=MAX(IF(('테스트 실행 로그'!C$6:C$1022=C26)*('테스트 실행 로그'!H$6:H$1022&lt;&gt;""), '테스트 실행 로그'!H$6:H$1022))), 0)))=0, "결과 없음", INDEX('테스트 실행 로그'!G$6:G$1022, MATCH(1, ('테스트 실행 로그'!C$6:C$1022=C26)*('테스트 실행 로그'!H$6:H$1022=MAX(IF(('테스트 실행 로그'!C$6:C$1022=C26)*('테스트 실행 로그'!H$6:H$1022&lt;&gt;""), '테스트 실행 로그'!H$6:H$1022))), 0))), "결과 없음" )</f>
        <v>Y</v>
      </c>
      <c r="H26" s="19" cm="1">
        <f t="array" ref="H26">IFERROR( IF(MAX(IF(('테스트 실행 로그'!C$6:C$1022=C26)*('테스트 실행 로그'!H$6:H$1022&lt;&gt;""), '테스트 실행 로그'!H$6:H$1022))=0, "날짜 없음", MAX(IF(('테스트 실행 로그'!C$6:C$1022=C26)*('테스트 실행 로그'!H$6:H$1022&lt;&gt;""), '테스트 실행 로그'!H$6:H$1022))), "날짜 없음" )</f>
        <v>45807</v>
      </c>
      <c r="I26" s="34" t="str" cm="1">
        <f t="array" ref="I26">IFERROR(IF(LEN(INDEX('테스트 실행 로그'!I$6:I$1022, MATCH(1, ('테스트 실행 로그'!C$6:C$1022=C26)*('테스트 실행 로그'!H$6:H$1022=MAX(IF('테스트 실행 로그'!C$6:C$1022=C26, '테스트 실행 로그'!H$6:H$1022))), 0)))=0,"이슈 없음",INDEX('테스트 실행 로그'!I$6:I$1022, MATCH(1, ('테스트 실행 로그'!C$6:C$1022=C26)*('테스트 실행 로그'!H$6:H$1022=MAX(IF('테스트 실행 로그'!C$6:C$1022=C26, '테스트 실행 로그'!H$6:H$1022))), 0))),"이슈 없음")</f>
        <v>이슈 없음</v>
      </c>
    </row>
    <row r="27" spans="1:9" ht="27" x14ac:dyDescent="0.3">
      <c r="A27" s="41"/>
      <c r="B27" s="42"/>
      <c r="C27" s="3" t="s">
        <v>166</v>
      </c>
      <c r="D27" s="5" t="s">
        <v>56</v>
      </c>
      <c r="E27" s="5" t="s">
        <v>51</v>
      </c>
      <c r="F27" s="6" t="s">
        <v>94</v>
      </c>
      <c r="G27" s="18" t="str" cm="1">
        <f t="array" ref="G27">IFERROR( IF(LEN(INDEX('테스트 실행 로그'!G$6:G$1022, MATCH(1, ('테스트 실행 로그'!C$6:C$1022=C27)*('테스트 실행 로그'!H$6:H$1022=MAX(IF(('테스트 실행 로그'!C$6:C$1022=C27)*('테스트 실행 로그'!H$6:H$1022&lt;&gt;""), '테스트 실행 로그'!H$6:H$1022))), 0)))=0, "결과 없음", INDEX('테스트 실행 로그'!G$6:G$1022, MATCH(1, ('테스트 실행 로그'!C$6:C$1022=C27)*('테스트 실행 로그'!H$6:H$1022=MAX(IF(('테스트 실행 로그'!C$6:C$1022=C27)*('테스트 실행 로그'!H$6:H$1022&lt;&gt;""), '테스트 실행 로그'!H$6:H$1022))), 0))), "결과 없음" )</f>
        <v>Y</v>
      </c>
      <c r="H27" s="19" cm="1">
        <f t="array" ref="H27">IFERROR( IF(MAX(IF(('테스트 실행 로그'!C$6:C$1022=C27)*('테스트 실행 로그'!H$6:H$1022&lt;&gt;""), '테스트 실행 로그'!H$6:H$1022))=0, "날짜 없음", MAX(IF(('테스트 실행 로그'!C$6:C$1022=C27)*('테스트 실행 로그'!H$6:H$1022&lt;&gt;""), '테스트 실행 로그'!H$6:H$1022))), "날짜 없음" )</f>
        <v>45807</v>
      </c>
      <c r="I27" s="34" t="str" cm="1">
        <f t="array" ref="I27">IFERROR(IF(LEN(INDEX('테스트 실행 로그'!I$6:I$1022, MATCH(1, ('테스트 실행 로그'!C$6:C$1022=C27)*('테스트 실행 로그'!H$6:H$1022=MAX(IF('테스트 실행 로그'!C$6:C$1022=C27, '테스트 실행 로그'!H$6:H$1022))), 0)))=0,"이슈 없음",INDEX('테스트 실행 로그'!I$6:I$1022, MATCH(1, ('테스트 실행 로그'!C$6:C$1022=C27)*('테스트 실행 로그'!H$6:H$1022=MAX(IF('테스트 실행 로그'!C$6:C$1022=C27, '테스트 실행 로그'!H$6:H$1022))), 0))),"이슈 없음")</f>
        <v>이슈 없음</v>
      </c>
    </row>
    <row r="28" spans="1:9" ht="27" x14ac:dyDescent="0.3">
      <c r="A28" s="41"/>
      <c r="B28" s="42"/>
      <c r="C28" s="3" t="s">
        <v>167</v>
      </c>
      <c r="D28" s="5" t="s">
        <v>64</v>
      </c>
      <c r="E28" s="5" t="s">
        <v>53</v>
      </c>
      <c r="F28" s="6" t="s">
        <v>92</v>
      </c>
      <c r="G28" s="18" t="str" cm="1">
        <f t="array" ref="G28">IFERROR( IF(LEN(INDEX('테스트 실행 로그'!G$6:G$1022, MATCH(1, ('테스트 실행 로그'!C$6:C$1022=C28)*('테스트 실행 로그'!H$6:H$1022=MAX(IF(('테스트 실행 로그'!C$6:C$1022=C28)*('테스트 실행 로그'!H$6:H$1022&lt;&gt;""), '테스트 실행 로그'!H$6:H$1022))), 0)))=0, "결과 없음", INDEX('테스트 실행 로그'!G$6:G$1022, MATCH(1, ('테스트 실행 로그'!C$6:C$1022=C28)*('테스트 실행 로그'!H$6:H$1022=MAX(IF(('테스트 실행 로그'!C$6:C$1022=C28)*('테스트 실행 로그'!H$6:H$1022&lt;&gt;""), '테스트 실행 로그'!H$6:H$1022))), 0))), "결과 없음" )</f>
        <v>Y</v>
      </c>
      <c r="H28" s="19" cm="1">
        <f t="array" ref="H28">IFERROR( IF(MAX(IF(('테스트 실행 로그'!C$6:C$1022=C28)*('테스트 실행 로그'!H$6:H$1022&lt;&gt;""), '테스트 실행 로그'!H$6:H$1022))=0, "날짜 없음", MAX(IF(('테스트 실행 로그'!C$6:C$1022=C28)*('테스트 실행 로그'!H$6:H$1022&lt;&gt;""), '테스트 실행 로그'!H$6:H$1022))), "날짜 없음" )</f>
        <v>45807</v>
      </c>
      <c r="I28" s="34" t="str" cm="1">
        <f t="array" ref="I28">IFERROR(IF(LEN(INDEX('테스트 실행 로그'!I$6:I$1022, MATCH(1, ('테스트 실행 로그'!C$6:C$1022=C28)*('테스트 실행 로그'!H$6:H$1022=MAX(IF('테스트 실행 로그'!C$6:C$1022=C28, '테스트 실행 로그'!H$6:H$1022))), 0)))=0,"이슈 없음",INDEX('테스트 실행 로그'!I$6:I$1022, MATCH(1, ('테스트 실행 로그'!C$6:C$1022=C28)*('테스트 실행 로그'!H$6:H$1022=MAX(IF('테스트 실행 로그'!C$6:C$1022=C28, '테스트 실행 로그'!H$6:H$1022))), 0))),"이슈 없음")</f>
        <v>이슈 없음</v>
      </c>
    </row>
    <row r="29" spans="1:9" ht="27" x14ac:dyDescent="0.3">
      <c r="A29" s="41"/>
      <c r="B29" s="39" t="s">
        <v>247</v>
      </c>
      <c r="C29" s="3" t="s">
        <v>168</v>
      </c>
      <c r="D29" s="5" t="s">
        <v>65</v>
      </c>
      <c r="E29" s="5" t="s">
        <v>66</v>
      </c>
      <c r="F29" s="6" t="s">
        <v>67</v>
      </c>
      <c r="G29" s="18" t="str" cm="1">
        <f t="array" ref="G29">IFERROR( IF(LEN(INDEX('테스트 실행 로그'!G$6:G$1022, MATCH(1, ('테스트 실행 로그'!C$6:C$1022=C29)*('테스트 실행 로그'!H$6:H$1022=MAX(IF(('테스트 실행 로그'!C$6:C$1022=C29)*('테스트 실행 로그'!H$6:H$1022&lt;&gt;""), '테스트 실행 로그'!H$6:H$1022))), 0)))=0, "결과 없음", INDEX('테스트 실행 로그'!G$6:G$1022, MATCH(1, ('테스트 실행 로그'!C$6:C$1022=C29)*('테스트 실행 로그'!H$6:H$1022=MAX(IF(('테스트 실행 로그'!C$6:C$1022=C29)*('테스트 실행 로그'!H$6:H$1022&lt;&gt;""), '테스트 실행 로그'!H$6:H$1022))), 0))), "결과 없음" )</f>
        <v>Y</v>
      </c>
      <c r="H29" s="19" cm="1">
        <f t="array" ref="H29">IFERROR( IF(MAX(IF(('테스트 실행 로그'!C$6:C$1022=C29)*('테스트 실행 로그'!H$6:H$1022&lt;&gt;""), '테스트 실행 로그'!H$6:H$1022))=0, "날짜 없음", MAX(IF(('테스트 실행 로그'!C$6:C$1022=C29)*('테스트 실행 로그'!H$6:H$1022&lt;&gt;""), '테스트 실행 로그'!H$6:H$1022))), "날짜 없음" )</f>
        <v>45807</v>
      </c>
      <c r="I29" s="34" t="str" cm="1">
        <f t="array" ref="I29">IFERROR(IF(LEN(INDEX('테스트 실행 로그'!I$6:I$1022, MATCH(1, ('테스트 실행 로그'!C$6:C$1022=C29)*('테스트 실행 로그'!H$6:H$1022=MAX(IF('테스트 실행 로그'!C$6:C$1022=C29, '테스트 실행 로그'!H$6:H$1022))), 0)))=0,"이슈 없음",INDEX('테스트 실행 로그'!I$6:I$1022, MATCH(1, ('테스트 실행 로그'!C$6:C$1022=C29)*('테스트 실행 로그'!H$6:H$1022=MAX(IF('테스트 실행 로그'!C$6:C$1022=C29, '테스트 실행 로그'!H$6:H$1022))), 0))),"이슈 없음")</f>
        <v>이슈 없음</v>
      </c>
    </row>
    <row r="30" spans="1:9" ht="27" x14ac:dyDescent="0.3">
      <c r="A30" s="41"/>
      <c r="B30" s="41"/>
      <c r="C30" s="3" t="s">
        <v>169</v>
      </c>
      <c r="D30" s="5" t="s">
        <v>68</v>
      </c>
      <c r="E30" s="5" t="s">
        <v>69</v>
      </c>
      <c r="F30" s="5" t="s">
        <v>70</v>
      </c>
      <c r="G30" s="18" t="str" cm="1">
        <f t="array" ref="G30">IFERROR( IF(LEN(INDEX('테스트 실행 로그'!G$6:G$1022, MATCH(1, ('테스트 실행 로그'!C$6:C$1022=C30)*('테스트 실행 로그'!H$6:H$1022=MAX(IF(('테스트 실행 로그'!C$6:C$1022=C30)*('테스트 실행 로그'!H$6:H$1022&lt;&gt;""), '테스트 실행 로그'!H$6:H$1022))), 0)))=0, "결과 없음", INDEX('테스트 실행 로그'!G$6:G$1022, MATCH(1, ('테스트 실행 로그'!C$6:C$1022=C30)*('테스트 실행 로그'!H$6:H$1022=MAX(IF(('테스트 실행 로그'!C$6:C$1022=C30)*('테스트 실행 로그'!H$6:H$1022&lt;&gt;""), '테스트 실행 로그'!H$6:H$1022))), 0))), "결과 없음" )</f>
        <v>Y</v>
      </c>
      <c r="H30" s="19" cm="1">
        <f t="array" ref="H30">IFERROR( IF(MAX(IF(('테스트 실행 로그'!C$6:C$1022=C30)*('테스트 실행 로그'!H$6:H$1022&lt;&gt;""), '테스트 실행 로그'!H$6:H$1022))=0, "날짜 없음", MAX(IF(('테스트 실행 로그'!C$6:C$1022=C30)*('테스트 실행 로그'!H$6:H$1022&lt;&gt;""), '테스트 실행 로그'!H$6:H$1022))), "날짜 없음" )</f>
        <v>45807</v>
      </c>
      <c r="I30" s="34" t="str" cm="1">
        <f t="array" ref="I30">IFERROR(IF(LEN(INDEX('테스트 실행 로그'!I$6:I$1022, MATCH(1, ('테스트 실행 로그'!C$6:C$1022=C30)*('테스트 실행 로그'!H$6:H$1022=MAX(IF('테스트 실행 로그'!C$6:C$1022=C30, '테스트 실행 로그'!H$6:H$1022))), 0)))=0,"이슈 없음",INDEX('테스트 실행 로그'!I$6:I$1022, MATCH(1, ('테스트 실행 로그'!C$6:C$1022=C30)*('테스트 실행 로그'!H$6:H$1022=MAX(IF('테스트 실행 로그'!C$6:C$1022=C30, '테스트 실행 로그'!H$6:H$1022))), 0))),"이슈 없음")</f>
        <v>이슈 없음</v>
      </c>
    </row>
    <row r="31" spans="1:9" ht="27" x14ac:dyDescent="0.3">
      <c r="A31" s="41"/>
      <c r="B31" s="41"/>
      <c r="C31" s="3" t="s">
        <v>170</v>
      </c>
      <c r="D31" s="5" t="s">
        <v>71</v>
      </c>
      <c r="E31" s="5" t="s">
        <v>72</v>
      </c>
      <c r="F31" s="5" t="s">
        <v>91</v>
      </c>
      <c r="G31" s="18" t="str" cm="1">
        <f t="array" ref="G31">IFERROR( IF(LEN(INDEX('테스트 실행 로그'!G$6:G$1022, MATCH(1, ('테스트 실행 로그'!C$6:C$1022=C31)*('테스트 실행 로그'!H$6:H$1022=MAX(IF(('테스트 실행 로그'!C$6:C$1022=C31)*('테스트 실행 로그'!H$6:H$1022&lt;&gt;""), '테스트 실행 로그'!H$6:H$1022))), 0)))=0, "결과 없음", INDEX('테스트 실행 로그'!G$6:G$1022, MATCH(1, ('테스트 실행 로그'!C$6:C$1022=C31)*('테스트 실행 로그'!H$6:H$1022=MAX(IF(('테스트 실행 로그'!C$6:C$1022=C31)*('테스트 실행 로그'!H$6:H$1022&lt;&gt;""), '테스트 실행 로그'!H$6:H$1022))), 0))), "결과 없음" )</f>
        <v>Y</v>
      </c>
      <c r="H31" s="19" cm="1">
        <f t="array" ref="H31">IFERROR( IF(MAX(IF(('테스트 실행 로그'!C$6:C$1022=C31)*('테스트 실행 로그'!H$6:H$1022&lt;&gt;""), '테스트 실행 로그'!H$6:H$1022))=0, "날짜 없음", MAX(IF(('테스트 실행 로그'!C$6:C$1022=C31)*('테스트 실행 로그'!H$6:H$1022&lt;&gt;""), '테스트 실행 로그'!H$6:H$1022))), "날짜 없음" )</f>
        <v>45807</v>
      </c>
      <c r="I31" s="34" t="str" cm="1">
        <f t="array" ref="I31">IFERROR(IF(LEN(INDEX('테스트 실행 로그'!I$6:I$1022, MATCH(1, ('테스트 실행 로그'!C$6:C$1022=C31)*('테스트 실행 로그'!H$6:H$1022=MAX(IF('테스트 실행 로그'!C$6:C$1022=C31, '테스트 실행 로그'!H$6:H$1022))), 0)))=0,"이슈 없음",INDEX('테스트 실행 로그'!I$6:I$1022, MATCH(1, ('테스트 실행 로그'!C$6:C$1022=C31)*('테스트 실행 로그'!H$6:H$1022=MAX(IF('테스트 실행 로그'!C$6:C$1022=C31, '테스트 실행 로그'!H$6:H$1022))), 0))),"이슈 없음")</f>
        <v>이슈 없음</v>
      </c>
    </row>
    <row r="32" spans="1:9" ht="27" x14ac:dyDescent="0.3">
      <c r="A32" s="41"/>
      <c r="B32" s="41"/>
      <c r="C32" s="3" t="s">
        <v>171</v>
      </c>
      <c r="D32" s="5" t="s">
        <v>73</v>
      </c>
      <c r="E32" s="5" t="s">
        <v>90</v>
      </c>
      <c r="F32" s="4" t="s">
        <v>74</v>
      </c>
      <c r="G32" s="18" t="str" cm="1">
        <f t="array" ref="G32">IFERROR( IF(LEN(INDEX('테스트 실행 로그'!G$6:G$1022, MATCH(1, ('테스트 실행 로그'!C$6:C$1022=C32)*('테스트 실행 로그'!H$6:H$1022=MAX(IF(('테스트 실행 로그'!C$6:C$1022=C32)*('테스트 실행 로그'!H$6:H$1022&lt;&gt;""), '테스트 실행 로그'!H$6:H$1022))), 0)))=0, "결과 없음", INDEX('테스트 실행 로그'!G$6:G$1022, MATCH(1, ('테스트 실행 로그'!C$6:C$1022=C32)*('테스트 실행 로그'!H$6:H$1022=MAX(IF(('테스트 실행 로그'!C$6:C$1022=C32)*('테스트 실행 로그'!H$6:H$1022&lt;&gt;""), '테스트 실행 로그'!H$6:H$1022))), 0))), "결과 없음" )</f>
        <v>Y</v>
      </c>
      <c r="H32" s="19" cm="1">
        <f t="array" ref="H32">IFERROR( IF(MAX(IF(('테스트 실행 로그'!C$6:C$1022=C32)*('테스트 실행 로그'!H$6:H$1022&lt;&gt;""), '테스트 실행 로그'!H$6:H$1022))=0, "날짜 없음", MAX(IF(('테스트 실행 로그'!C$6:C$1022=C32)*('테스트 실행 로그'!H$6:H$1022&lt;&gt;""), '테스트 실행 로그'!H$6:H$1022))), "날짜 없음" )</f>
        <v>45807</v>
      </c>
      <c r="I32" s="34" t="str" cm="1">
        <f t="array" ref="I32">IFERROR(IF(LEN(INDEX('테스트 실행 로그'!I$6:I$1022, MATCH(1, ('테스트 실행 로그'!C$6:C$1022=C32)*('테스트 실행 로그'!H$6:H$1022=MAX(IF('테스트 실행 로그'!C$6:C$1022=C32, '테스트 실행 로그'!H$6:H$1022))), 0)))=0,"이슈 없음",INDEX('테스트 실행 로그'!I$6:I$1022, MATCH(1, ('테스트 실행 로그'!C$6:C$1022=C32)*('테스트 실행 로그'!H$6:H$1022=MAX(IF('테스트 실행 로그'!C$6:C$1022=C32, '테스트 실행 로그'!H$6:H$1022))), 0))),"이슈 없음")</f>
        <v>이슈 없음</v>
      </c>
    </row>
    <row r="33" spans="1:9" ht="27" x14ac:dyDescent="0.3">
      <c r="A33" s="41"/>
      <c r="B33" s="41"/>
      <c r="C33" s="3" t="s">
        <v>172</v>
      </c>
      <c r="D33" s="5" t="s">
        <v>75</v>
      </c>
      <c r="E33" s="5" t="s">
        <v>76</v>
      </c>
      <c r="F33" s="4" t="s">
        <v>77</v>
      </c>
      <c r="G33" s="18" t="str" cm="1">
        <f t="array" ref="G33">IFERROR( IF(LEN(INDEX('테스트 실행 로그'!G$6:G$1022, MATCH(1, ('테스트 실행 로그'!C$6:C$1022=C33)*('테스트 실행 로그'!H$6:H$1022=MAX(IF(('테스트 실행 로그'!C$6:C$1022=C33)*('테스트 실행 로그'!H$6:H$1022&lt;&gt;""), '테스트 실행 로그'!H$6:H$1022))), 0)))=0, "결과 없음", INDEX('테스트 실행 로그'!G$6:G$1022, MATCH(1, ('테스트 실행 로그'!C$6:C$1022=C33)*('테스트 실행 로그'!H$6:H$1022=MAX(IF(('테스트 실행 로그'!C$6:C$1022=C33)*('테스트 실행 로그'!H$6:H$1022&lt;&gt;""), '테스트 실행 로그'!H$6:H$1022))), 0))), "결과 없음" )</f>
        <v>Y</v>
      </c>
      <c r="H33" s="19" cm="1">
        <f t="array" ref="H33">IFERROR( IF(MAX(IF(('테스트 실행 로그'!C$6:C$1022=C33)*('테스트 실행 로그'!H$6:H$1022&lt;&gt;""), '테스트 실행 로그'!H$6:H$1022))=0, "날짜 없음", MAX(IF(('테스트 실행 로그'!C$6:C$1022=C33)*('테스트 실행 로그'!H$6:H$1022&lt;&gt;""), '테스트 실행 로그'!H$6:H$1022))), "날짜 없음" )</f>
        <v>45807</v>
      </c>
      <c r="I33" s="34" t="str" cm="1">
        <f t="array" ref="I33">IFERROR(IF(LEN(INDEX('테스트 실행 로그'!I$6:I$1022, MATCH(1, ('테스트 실행 로그'!C$6:C$1022=C33)*('테스트 실행 로그'!H$6:H$1022=MAX(IF('테스트 실행 로그'!C$6:C$1022=C33, '테스트 실행 로그'!H$6:H$1022))), 0)))=0,"이슈 없음",INDEX('테스트 실행 로그'!I$6:I$1022, MATCH(1, ('테스트 실행 로그'!C$6:C$1022=C33)*('테스트 실행 로그'!H$6:H$1022=MAX(IF('테스트 실행 로그'!C$6:C$1022=C33, '테스트 실행 로그'!H$6:H$1022))), 0))),"이슈 없음")</f>
        <v>이슈 없음</v>
      </c>
    </row>
    <row r="34" spans="1:9" ht="27" x14ac:dyDescent="0.3">
      <c r="A34" s="41"/>
      <c r="B34" s="41"/>
      <c r="C34" s="3" t="s">
        <v>173</v>
      </c>
      <c r="D34" s="5" t="s">
        <v>78</v>
      </c>
      <c r="E34" s="5" t="s">
        <v>79</v>
      </c>
      <c r="F34" s="4" t="s">
        <v>80</v>
      </c>
      <c r="G34" s="18" t="str" cm="1">
        <f t="array" ref="G34">IFERROR( IF(LEN(INDEX('테스트 실행 로그'!G$6:G$1022, MATCH(1, ('테스트 실행 로그'!C$6:C$1022=C34)*('테스트 실행 로그'!H$6:H$1022=MAX(IF(('테스트 실행 로그'!C$6:C$1022=C34)*('테스트 실행 로그'!H$6:H$1022&lt;&gt;""), '테스트 실행 로그'!H$6:H$1022))), 0)))=0, "결과 없음", INDEX('테스트 실행 로그'!G$6:G$1022, MATCH(1, ('테스트 실행 로그'!C$6:C$1022=C34)*('테스트 실행 로그'!H$6:H$1022=MAX(IF(('테스트 실행 로그'!C$6:C$1022=C34)*('테스트 실행 로그'!H$6:H$1022&lt;&gt;""), '테스트 실행 로그'!H$6:H$1022))), 0))), "결과 없음" )</f>
        <v>Y</v>
      </c>
      <c r="H34" s="19" cm="1">
        <f t="array" ref="H34">IFERROR( IF(MAX(IF(('테스트 실행 로그'!C$6:C$1022=C34)*('테스트 실행 로그'!H$6:H$1022&lt;&gt;""), '테스트 실행 로그'!H$6:H$1022))=0, "날짜 없음", MAX(IF(('테스트 실행 로그'!C$6:C$1022=C34)*('테스트 실행 로그'!H$6:H$1022&lt;&gt;""), '테스트 실행 로그'!H$6:H$1022))), "날짜 없음" )</f>
        <v>45807</v>
      </c>
      <c r="I34" s="34" t="str" cm="1">
        <f t="array" ref="I34">IFERROR(IF(LEN(INDEX('테스트 실행 로그'!I$6:I$1022, MATCH(1, ('테스트 실행 로그'!C$6:C$1022=C34)*('테스트 실행 로그'!H$6:H$1022=MAX(IF('테스트 실행 로그'!C$6:C$1022=C34, '테스트 실행 로그'!H$6:H$1022))), 0)))=0,"이슈 없음",INDEX('테스트 실행 로그'!I$6:I$1022, MATCH(1, ('테스트 실행 로그'!C$6:C$1022=C34)*('테스트 실행 로그'!H$6:H$1022=MAX(IF('테스트 실행 로그'!C$6:C$1022=C34, '테스트 실행 로그'!H$6:H$1022))), 0))),"이슈 없음")</f>
        <v>이슈 없음</v>
      </c>
    </row>
    <row r="35" spans="1:9" ht="27" x14ac:dyDescent="0.3">
      <c r="A35" s="41"/>
      <c r="B35" s="41"/>
      <c r="C35" s="3" t="s">
        <v>174</v>
      </c>
      <c r="D35" s="5" t="s">
        <v>81</v>
      </c>
      <c r="E35" s="5" t="s">
        <v>82</v>
      </c>
      <c r="F35" s="4" t="s">
        <v>83</v>
      </c>
      <c r="G35" s="18" t="str" cm="1">
        <f t="array" ref="G35">IFERROR( IF(LEN(INDEX('테스트 실행 로그'!G$6:G$1022, MATCH(1, ('테스트 실행 로그'!C$6:C$1022=C35)*('테스트 실행 로그'!H$6:H$1022=MAX(IF(('테스트 실행 로그'!C$6:C$1022=C35)*('테스트 실행 로그'!H$6:H$1022&lt;&gt;""), '테스트 실행 로그'!H$6:H$1022))), 0)))=0, "결과 없음", INDEX('테스트 실행 로그'!G$6:G$1022, MATCH(1, ('테스트 실행 로그'!C$6:C$1022=C35)*('테스트 실행 로그'!H$6:H$1022=MAX(IF(('테스트 실행 로그'!C$6:C$1022=C35)*('테스트 실행 로그'!H$6:H$1022&lt;&gt;""), '테스트 실행 로그'!H$6:H$1022))), 0))), "결과 없음" )</f>
        <v>Y</v>
      </c>
      <c r="H35" s="19" cm="1">
        <f t="array" ref="H35">IFERROR( IF(MAX(IF(('테스트 실행 로그'!C$6:C$1022=C35)*('테스트 실행 로그'!H$6:H$1022&lt;&gt;""), '테스트 실행 로그'!H$6:H$1022))=0, "날짜 없음", MAX(IF(('테스트 실행 로그'!C$6:C$1022=C35)*('테스트 실행 로그'!H$6:H$1022&lt;&gt;""), '테스트 실행 로그'!H$6:H$1022))), "날짜 없음" )</f>
        <v>45807</v>
      </c>
      <c r="I35" s="34" t="str" cm="1">
        <f t="array" ref="I35">IFERROR(IF(LEN(INDEX('테스트 실행 로그'!I$6:I$1022, MATCH(1, ('테스트 실행 로그'!C$6:C$1022=C35)*('테스트 실행 로그'!H$6:H$1022=MAX(IF('테스트 실행 로그'!C$6:C$1022=C35, '테스트 실행 로그'!H$6:H$1022))), 0)))=0,"이슈 없음",INDEX('테스트 실행 로그'!I$6:I$1022, MATCH(1, ('테스트 실행 로그'!C$6:C$1022=C35)*('테스트 실행 로그'!H$6:H$1022=MAX(IF('테스트 실행 로그'!C$6:C$1022=C35, '테스트 실행 로그'!H$6:H$1022))), 0))),"이슈 없음")</f>
        <v>이슈 없음</v>
      </c>
    </row>
    <row r="36" spans="1:9" ht="27" x14ac:dyDescent="0.3">
      <c r="A36" s="41"/>
      <c r="B36" s="41"/>
      <c r="C36" s="3" t="s">
        <v>175</v>
      </c>
      <c r="D36" s="5" t="s">
        <v>84</v>
      </c>
      <c r="E36" s="5" t="s">
        <v>85</v>
      </c>
      <c r="F36" s="4" t="s">
        <v>86</v>
      </c>
      <c r="G36" s="18" t="str" cm="1">
        <f t="array" ref="G36">IFERROR( IF(LEN(INDEX('테스트 실행 로그'!G$6:G$1022, MATCH(1, ('테스트 실행 로그'!C$6:C$1022=C36)*('테스트 실행 로그'!H$6:H$1022=MAX(IF(('테스트 실행 로그'!C$6:C$1022=C36)*('테스트 실행 로그'!H$6:H$1022&lt;&gt;""), '테스트 실행 로그'!H$6:H$1022))), 0)))=0, "결과 없음", INDEX('테스트 실행 로그'!G$6:G$1022, MATCH(1, ('테스트 실행 로그'!C$6:C$1022=C36)*('테스트 실행 로그'!H$6:H$1022=MAX(IF(('테스트 실행 로그'!C$6:C$1022=C36)*('테스트 실행 로그'!H$6:H$1022&lt;&gt;""), '테스트 실행 로그'!H$6:H$1022))), 0))), "결과 없음" )</f>
        <v>Y</v>
      </c>
      <c r="H36" s="19" cm="1">
        <f t="array" ref="H36">IFERROR( IF(MAX(IF(('테스트 실행 로그'!C$6:C$1022=C36)*('테스트 실행 로그'!H$6:H$1022&lt;&gt;""), '테스트 실행 로그'!H$6:H$1022))=0, "날짜 없음", MAX(IF(('테스트 실행 로그'!C$6:C$1022=C36)*('테스트 실행 로그'!H$6:H$1022&lt;&gt;""), '테스트 실행 로그'!H$6:H$1022))), "날짜 없음" )</f>
        <v>45807</v>
      </c>
      <c r="I36" s="34" t="str" cm="1">
        <f t="array" ref="I36">IFERROR(IF(LEN(INDEX('테스트 실행 로그'!I$6:I$1022, MATCH(1, ('테스트 실행 로그'!C$6:C$1022=C36)*('테스트 실행 로그'!H$6:H$1022=MAX(IF('테스트 실행 로그'!C$6:C$1022=C36, '테스트 실행 로그'!H$6:H$1022))), 0)))=0,"이슈 없음",INDEX('테스트 실행 로그'!I$6:I$1022, MATCH(1, ('테스트 실행 로그'!C$6:C$1022=C36)*('테스트 실행 로그'!H$6:H$1022=MAX(IF('테스트 실행 로그'!C$6:C$1022=C36, '테스트 실행 로그'!H$6:H$1022))), 0))),"이슈 없음")</f>
        <v>이슈 없음</v>
      </c>
    </row>
    <row r="37" spans="1:9" x14ac:dyDescent="0.3">
      <c r="A37" s="41"/>
      <c r="B37" s="40"/>
      <c r="C37" s="3" t="s">
        <v>176</v>
      </c>
      <c r="D37" s="5" t="s">
        <v>87</v>
      </c>
      <c r="E37" s="5" t="s">
        <v>88</v>
      </c>
      <c r="F37" s="4" t="s">
        <v>89</v>
      </c>
      <c r="G37" s="18" t="str" cm="1">
        <f t="array" ref="G37">IFERROR( IF(LEN(INDEX('테스트 실행 로그'!G$6:G$1022, MATCH(1, ('테스트 실행 로그'!C$6:C$1022=C37)*('테스트 실행 로그'!H$6:H$1022=MAX(IF(('테스트 실행 로그'!C$6:C$1022=C37)*('테스트 실행 로그'!H$6:H$1022&lt;&gt;""), '테스트 실행 로그'!H$6:H$1022))), 0)))=0, "결과 없음", INDEX('테스트 실행 로그'!G$6:G$1022, MATCH(1, ('테스트 실행 로그'!C$6:C$1022=C37)*('테스트 실행 로그'!H$6:H$1022=MAX(IF(('테스트 실행 로그'!C$6:C$1022=C37)*('테스트 실행 로그'!H$6:H$1022&lt;&gt;""), '테스트 실행 로그'!H$6:H$1022))), 0))), "결과 없음" )</f>
        <v>Y</v>
      </c>
      <c r="H37" s="19" cm="1">
        <f t="array" ref="H37">IFERROR( IF(MAX(IF(('테스트 실행 로그'!C$6:C$1022=C37)*('테스트 실행 로그'!H$6:H$1022&lt;&gt;""), '테스트 실행 로그'!H$6:H$1022))=0, "날짜 없음", MAX(IF(('테스트 실행 로그'!C$6:C$1022=C37)*('테스트 실행 로그'!H$6:H$1022&lt;&gt;""), '테스트 실행 로그'!H$6:H$1022))), "날짜 없음" )</f>
        <v>45807</v>
      </c>
      <c r="I37" s="34" t="str" cm="1">
        <f t="array" ref="I37">IFERROR(IF(LEN(INDEX('테스트 실행 로그'!I$6:I$1022, MATCH(1, ('테스트 실행 로그'!C$6:C$1022=C37)*('테스트 실행 로그'!H$6:H$1022=MAX(IF('테스트 실행 로그'!C$6:C$1022=C37, '테스트 실행 로그'!H$6:H$1022))), 0)))=0,"이슈 없음",INDEX('테스트 실행 로그'!I$6:I$1022, MATCH(1, ('테스트 실행 로그'!C$6:C$1022=C37)*('테스트 실행 로그'!H$6:H$1022=MAX(IF('테스트 실행 로그'!C$6:C$1022=C37, '테스트 실행 로그'!H$6:H$1022))), 0))),"이슈 없음")</f>
        <v>이슈 없음</v>
      </c>
    </row>
    <row r="38" spans="1:9" ht="27" x14ac:dyDescent="0.3">
      <c r="A38" s="41"/>
      <c r="B38" s="39" t="s">
        <v>135</v>
      </c>
      <c r="C38" s="3" t="s">
        <v>177</v>
      </c>
      <c r="D38" s="5" t="s">
        <v>143</v>
      </c>
      <c r="E38" s="5" t="s">
        <v>98</v>
      </c>
      <c r="F38" s="5" t="s">
        <v>100</v>
      </c>
      <c r="G38" s="18" t="str" cm="1">
        <f t="array" ref="G38">IFERROR( IF(LEN(INDEX('테스트 실행 로그'!G$6:G$1022, MATCH(1, ('테스트 실행 로그'!C$6:C$1022=C38)*('테스트 실행 로그'!H$6:H$1022=MAX(IF(('테스트 실행 로그'!C$6:C$1022=C38)*('테스트 실행 로그'!H$6:H$1022&lt;&gt;""), '테스트 실행 로그'!H$6:H$1022))), 0)))=0, "결과 없음", INDEX('테스트 실행 로그'!G$6:G$1022, MATCH(1, ('테스트 실행 로그'!C$6:C$1022=C38)*('테스트 실행 로그'!H$6:H$1022=MAX(IF(('테스트 실행 로그'!C$6:C$1022=C38)*('테스트 실행 로그'!H$6:H$1022&lt;&gt;""), '테스트 실행 로그'!H$6:H$1022))), 0))), "결과 없음" )</f>
        <v>Y</v>
      </c>
      <c r="H38" s="19" cm="1">
        <f t="array" ref="H38">IFERROR( IF(MAX(IF(('테스트 실행 로그'!C$6:C$1022=C38)*('테스트 실행 로그'!H$6:H$1022&lt;&gt;""), '테스트 실행 로그'!H$6:H$1022))=0, "날짜 없음", MAX(IF(('테스트 실행 로그'!C$6:C$1022=C38)*('테스트 실행 로그'!H$6:H$1022&lt;&gt;""), '테스트 실행 로그'!H$6:H$1022))), "날짜 없음" )</f>
        <v>45747</v>
      </c>
      <c r="I38" s="34" t="str" cm="1">
        <f t="array" ref="I38">IFERROR(IF(LEN(INDEX('테스트 실행 로그'!I$6:I$1022, MATCH(1, ('테스트 실행 로그'!C$6:C$1022=C38)*('테스트 실행 로그'!H$6:H$1022=MAX(IF('테스트 실행 로그'!C$6:C$1022=C38, '테스트 실행 로그'!H$6:H$1022))), 0)))=0,"이슈 없음",INDEX('테스트 실행 로그'!I$6:I$1022, MATCH(1, ('테스트 실행 로그'!C$6:C$1022=C38)*('테스트 실행 로그'!H$6:H$1022=MAX(IF('테스트 실행 로그'!C$6:C$1022=C38, '테스트 실행 로그'!H$6:H$1022))), 0))),"이슈 없음")</f>
        <v>이슈 없음</v>
      </c>
    </row>
    <row r="39" spans="1:9" x14ac:dyDescent="0.3">
      <c r="A39" s="41"/>
      <c r="B39" s="41"/>
      <c r="C39" s="3" t="s">
        <v>178</v>
      </c>
      <c r="D39" s="5" t="s">
        <v>103</v>
      </c>
      <c r="E39" s="5" t="s">
        <v>101</v>
      </c>
      <c r="F39" s="5" t="s">
        <v>25</v>
      </c>
      <c r="G39" s="18" t="str" cm="1">
        <f t="array" ref="G39">IFERROR( IF(LEN(INDEX('테스트 실행 로그'!G$6:G$1022, MATCH(1, ('테스트 실행 로그'!C$6:C$1022=C39)*('테스트 실행 로그'!H$6:H$1022=MAX(IF(('테스트 실행 로그'!C$6:C$1022=C39)*('테스트 실행 로그'!H$6:H$1022&lt;&gt;""), '테스트 실행 로그'!H$6:H$1022))), 0)))=0, "결과 없음", INDEX('테스트 실행 로그'!G$6:G$1022, MATCH(1, ('테스트 실행 로그'!C$6:C$1022=C39)*('테스트 실행 로그'!H$6:H$1022=MAX(IF(('테스트 실행 로그'!C$6:C$1022=C39)*('테스트 실행 로그'!H$6:H$1022&lt;&gt;""), '테스트 실행 로그'!H$6:H$1022))), 0))), "결과 없음" )</f>
        <v>Y</v>
      </c>
      <c r="H39" s="19" cm="1">
        <f t="array" ref="H39">IFERROR( IF(MAX(IF(('테스트 실행 로그'!C$6:C$1022=C39)*('테스트 실행 로그'!H$6:H$1022&lt;&gt;""), '테스트 실행 로그'!H$6:H$1022))=0, "날짜 없음", MAX(IF(('테스트 실행 로그'!C$6:C$1022=C39)*('테스트 실행 로그'!H$6:H$1022&lt;&gt;""), '테스트 실행 로그'!H$6:H$1022))), "날짜 없음" )</f>
        <v>45747</v>
      </c>
      <c r="I39" s="34" t="str" cm="1">
        <f t="array" ref="I39">IFERROR(IF(LEN(INDEX('테스트 실행 로그'!I$6:I$1022, MATCH(1, ('테스트 실행 로그'!C$6:C$1022=C39)*('테스트 실행 로그'!H$6:H$1022=MAX(IF('테스트 실행 로그'!C$6:C$1022=C39, '테스트 실행 로그'!H$6:H$1022))), 0)))=0,"이슈 없음",INDEX('테스트 실행 로그'!I$6:I$1022, MATCH(1, ('테스트 실행 로그'!C$6:C$1022=C39)*('테스트 실행 로그'!H$6:H$1022=MAX(IF('테스트 실행 로그'!C$6:C$1022=C39, '테스트 실행 로그'!H$6:H$1022))), 0))),"이슈 없음")</f>
        <v>이슈 없음</v>
      </c>
    </row>
    <row r="40" spans="1:9" ht="27" x14ac:dyDescent="0.3">
      <c r="A40" s="41"/>
      <c r="B40" s="41"/>
      <c r="C40" s="3" t="s">
        <v>179</v>
      </c>
      <c r="D40" s="5" t="s">
        <v>62</v>
      </c>
      <c r="E40" s="5" t="s">
        <v>106</v>
      </c>
      <c r="F40" s="5" t="s">
        <v>107</v>
      </c>
      <c r="G40" s="18" t="str" cm="1">
        <f t="array" ref="G40">IFERROR( IF(LEN(INDEX('테스트 실행 로그'!G$6:G$1022, MATCH(1, ('테스트 실행 로그'!C$6:C$1022=C40)*('테스트 실행 로그'!H$6:H$1022=MAX(IF(('테스트 실행 로그'!C$6:C$1022=C40)*('테스트 실행 로그'!H$6:H$1022&lt;&gt;""), '테스트 실행 로그'!H$6:H$1022))), 0)))=0, "결과 없음", INDEX('테스트 실행 로그'!G$6:G$1022, MATCH(1, ('테스트 실행 로그'!C$6:C$1022=C40)*('테스트 실행 로그'!H$6:H$1022=MAX(IF(('테스트 실행 로그'!C$6:C$1022=C40)*('테스트 실행 로그'!H$6:H$1022&lt;&gt;""), '테스트 실행 로그'!H$6:H$1022))), 0))), "결과 없음" )</f>
        <v>Y</v>
      </c>
      <c r="H40" s="19" cm="1">
        <f t="array" ref="H40">IFERROR( IF(MAX(IF(('테스트 실행 로그'!C$6:C$1022=C40)*('테스트 실행 로그'!H$6:H$1022&lt;&gt;""), '테스트 실행 로그'!H$6:H$1022))=0, "날짜 없음", MAX(IF(('테스트 실행 로그'!C$6:C$1022=C40)*('테스트 실행 로그'!H$6:H$1022&lt;&gt;""), '테스트 실행 로그'!H$6:H$1022))), "날짜 없음" )</f>
        <v>45747</v>
      </c>
      <c r="I40" s="34" t="str" cm="1">
        <f t="array" ref="I40">IFERROR(IF(LEN(INDEX('테스트 실행 로그'!I$6:I$1022, MATCH(1, ('테스트 실행 로그'!C$6:C$1022=C40)*('테스트 실행 로그'!H$6:H$1022=MAX(IF('테스트 실행 로그'!C$6:C$1022=C40, '테스트 실행 로그'!H$6:H$1022))), 0)))=0,"이슈 없음",INDEX('테스트 실행 로그'!I$6:I$1022, MATCH(1, ('테스트 실행 로그'!C$6:C$1022=C40)*('테스트 실행 로그'!H$6:H$1022=MAX(IF('테스트 실행 로그'!C$6:C$1022=C40, '테스트 실행 로그'!H$6:H$1022))), 0))),"이슈 없음")</f>
        <v>이슈 없음</v>
      </c>
    </row>
    <row r="41" spans="1:9" ht="27" x14ac:dyDescent="0.3">
      <c r="A41" s="41"/>
      <c r="B41" s="41"/>
      <c r="C41" s="3" t="s">
        <v>180</v>
      </c>
      <c r="D41" s="5" t="s">
        <v>63</v>
      </c>
      <c r="E41" s="5" t="s">
        <v>105</v>
      </c>
      <c r="F41" s="5" t="s">
        <v>108</v>
      </c>
      <c r="G41" s="18" t="str" cm="1">
        <f t="array" ref="G41">IFERROR( IF(LEN(INDEX('테스트 실행 로그'!G$6:G$1022, MATCH(1, ('테스트 실행 로그'!C$6:C$1022=C41)*('테스트 실행 로그'!H$6:H$1022=MAX(IF(('테스트 실행 로그'!C$6:C$1022=C41)*('테스트 실행 로그'!H$6:H$1022&lt;&gt;""), '테스트 실행 로그'!H$6:H$1022))), 0)))=0, "결과 없음", INDEX('테스트 실행 로그'!G$6:G$1022, MATCH(1, ('테스트 실행 로그'!C$6:C$1022=C41)*('테스트 실행 로그'!H$6:H$1022=MAX(IF(('테스트 실행 로그'!C$6:C$1022=C41)*('테스트 실행 로그'!H$6:H$1022&lt;&gt;""), '테스트 실행 로그'!H$6:H$1022))), 0))), "결과 없음" )</f>
        <v>Y</v>
      </c>
      <c r="H41" s="19" cm="1">
        <f t="array" ref="H41">IFERROR( IF(MAX(IF(('테스트 실행 로그'!C$6:C$1022=C41)*('테스트 실행 로그'!H$6:H$1022&lt;&gt;""), '테스트 실행 로그'!H$6:H$1022))=0, "날짜 없음", MAX(IF(('테스트 실행 로그'!C$6:C$1022=C41)*('테스트 실행 로그'!H$6:H$1022&lt;&gt;""), '테스트 실행 로그'!H$6:H$1022))), "날짜 없음" )</f>
        <v>45747</v>
      </c>
      <c r="I41" s="34" t="str" cm="1">
        <f t="array" ref="I41">IFERROR(IF(LEN(INDEX('테스트 실행 로그'!I$6:I$1022, MATCH(1, ('테스트 실행 로그'!C$6:C$1022=C41)*('테스트 실행 로그'!H$6:H$1022=MAX(IF('테스트 실행 로그'!C$6:C$1022=C41, '테스트 실행 로그'!H$6:H$1022))), 0)))=0,"이슈 없음",INDEX('테스트 실행 로그'!I$6:I$1022, MATCH(1, ('테스트 실행 로그'!C$6:C$1022=C41)*('테스트 실행 로그'!H$6:H$1022=MAX(IF('테스트 실행 로그'!C$6:C$1022=C41, '테스트 실행 로그'!H$6:H$1022))), 0))),"이슈 없음")</f>
        <v>이슈 없음</v>
      </c>
    </row>
    <row r="42" spans="1:9" ht="27" x14ac:dyDescent="0.3">
      <c r="A42" s="41"/>
      <c r="B42" s="41"/>
      <c r="C42" s="3" t="s">
        <v>181</v>
      </c>
      <c r="D42" s="5" t="s">
        <v>102</v>
      </c>
      <c r="E42" s="5" t="s">
        <v>109</v>
      </c>
      <c r="F42" s="5" t="s">
        <v>32</v>
      </c>
      <c r="G42" s="18" t="str" cm="1">
        <f t="array" ref="G42">IFERROR( IF(LEN(INDEX('테스트 실행 로그'!G$6:G$1022, MATCH(1, ('테스트 실행 로그'!C$6:C$1022=C42)*('테스트 실행 로그'!H$6:H$1022=MAX(IF(('테스트 실행 로그'!C$6:C$1022=C42)*('테스트 실행 로그'!H$6:H$1022&lt;&gt;""), '테스트 실행 로그'!H$6:H$1022))), 0)))=0, "결과 없음", INDEX('테스트 실행 로그'!G$6:G$1022, MATCH(1, ('테스트 실행 로그'!C$6:C$1022=C42)*('테스트 실행 로그'!H$6:H$1022=MAX(IF(('테스트 실행 로그'!C$6:C$1022=C42)*('테스트 실행 로그'!H$6:H$1022&lt;&gt;""), '테스트 실행 로그'!H$6:H$1022))), 0))), "결과 없음" )</f>
        <v>Y</v>
      </c>
      <c r="H42" s="19" cm="1">
        <f t="array" ref="H42">IFERROR( IF(MAX(IF(('테스트 실행 로그'!C$6:C$1022=C42)*('테스트 실행 로그'!H$6:H$1022&lt;&gt;""), '테스트 실행 로그'!H$6:H$1022))=0, "날짜 없음", MAX(IF(('테스트 실행 로그'!C$6:C$1022=C42)*('테스트 실행 로그'!H$6:H$1022&lt;&gt;""), '테스트 실행 로그'!H$6:H$1022))), "날짜 없음" )</f>
        <v>45747</v>
      </c>
      <c r="I42" s="34" t="str" cm="1">
        <f t="array" ref="I42">IFERROR(IF(LEN(INDEX('테스트 실행 로그'!I$6:I$1022, MATCH(1, ('테스트 실행 로그'!C$6:C$1022=C42)*('테스트 실행 로그'!H$6:H$1022=MAX(IF('테스트 실행 로그'!C$6:C$1022=C42, '테스트 실행 로그'!H$6:H$1022))), 0)))=0,"이슈 없음",INDEX('테스트 실행 로그'!I$6:I$1022, MATCH(1, ('테스트 실행 로그'!C$6:C$1022=C42)*('테스트 실행 로그'!H$6:H$1022=MAX(IF('테스트 실행 로그'!C$6:C$1022=C42, '테스트 실행 로그'!H$6:H$1022))), 0))),"이슈 없음")</f>
        <v>이슈 없음</v>
      </c>
    </row>
    <row r="43" spans="1:9" ht="27" x14ac:dyDescent="0.3">
      <c r="A43" s="41"/>
      <c r="B43" s="40"/>
      <c r="C43" s="3" t="s">
        <v>182</v>
      </c>
      <c r="D43" s="5" t="s">
        <v>144</v>
      </c>
      <c r="E43" s="5" t="s">
        <v>110</v>
      </c>
      <c r="F43" s="5" t="s">
        <v>32</v>
      </c>
      <c r="G43" s="18" t="str" cm="1">
        <f t="array" ref="G43">IFERROR( IF(LEN(INDEX('테스트 실행 로그'!G$6:G$1022, MATCH(1, ('테스트 실행 로그'!C$6:C$1022=C43)*('테스트 실행 로그'!H$6:H$1022=MAX(IF(('테스트 실행 로그'!C$6:C$1022=C43)*('테스트 실행 로그'!H$6:H$1022&lt;&gt;""), '테스트 실행 로그'!H$6:H$1022))), 0)))=0, "결과 없음", INDEX('테스트 실행 로그'!G$6:G$1022, MATCH(1, ('테스트 실행 로그'!C$6:C$1022=C43)*('테스트 실행 로그'!H$6:H$1022=MAX(IF(('테스트 실행 로그'!C$6:C$1022=C43)*('테스트 실행 로그'!H$6:H$1022&lt;&gt;""), '테스트 실행 로그'!H$6:H$1022))), 0))), "결과 없음" )</f>
        <v>Y</v>
      </c>
      <c r="H43" s="19" cm="1">
        <f t="array" ref="H43">IFERROR( IF(MAX(IF(('테스트 실행 로그'!C$6:C$1022=C43)*('테스트 실행 로그'!H$6:H$1022&lt;&gt;""), '테스트 실행 로그'!H$6:H$1022))=0, "날짜 없음", MAX(IF(('테스트 실행 로그'!C$6:C$1022=C43)*('테스트 실행 로그'!H$6:H$1022&lt;&gt;""), '테스트 실행 로그'!H$6:H$1022))), "날짜 없음" )</f>
        <v>45747</v>
      </c>
      <c r="I43" s="34" t="str" cm="1">
        <f t="array" ref="I43">IFERROR(IF(LEN(INDEX('테스트 실행 로그'!I$6:I$1022, MATCH(1, ('테스트 실행 로그'!C$6:C$1022=C43)*('테스트 실행 로그'!H$6:H$1022=MAX(IF('테스트 실행 로그'!C$6:C$1022=C43, '테스트 실행 로그'!H$6:H$1022))), 0)))=0,"이슈 없음",INDEX('테스트 실행 로그'!I$6:I$1022, MATCH(1, ('테스트 실행 로그'!C$6:C$1022=C43)*('테스트 실행 로그'!H$6:H$1022=MAX(IF('테스트 실행 로그'!C$6:C$1022=C43, '테스트 실행 로그'!H$6:H$1022))), 0))),"이슈 없음")</f>
        <v>이슈 없음</v>
      </c>
    </row>
    <row r="44" spans="1:9" x14ac:dyDescent="0.3">
      <c r="A44" s="41"/>
      <c r="B44" s="39" t="s">
        <v>136</v>
      </c>
      <c r="C44" s="3" t="s">
        <v>183</v>
      </c>
      <c r="D44" s="5" t="s">
        <v>111</v>
      </c>
      <c r="E44" s="5" t="s">
        <v>112</v>
      </c>
      <c r="F44" s="5" t="s">
        <v>113</v>
      </c>
      <c r="G44" s="18" t="str" cm="1">
        <f t="array" ref="G44">IFERROR( IF(LEN(INDEX('테스트 실행 로그'!G$6:G$1022, MATCH(1, ('테스트 실행 로그'!C$6:C$1022=C44)*('테스트 실행 로그'!H$6:H$1022=MAX(IF(('테스트 실행 로그'!C$6:C$1022=C44)*('테스트 실행 로그'!H$6:H$1022&lt;&gt;""), '테스트 실행 로그'!H$6:H$1022))), 0)))=0, "결과 없음", INDEX('테스트 실행 로그'!G$6:G$1022, MATCH(1, ('테스트 실행 로그'!C$6:C$1022=C44)*('테스트 실행 로그'!H$6:H$1022=MAX(IF(('테스트 실행 로그'!C$6:C$1022=C44)*('테스트 실행 로그'!H$6:H$1022&lt;&gt;""), '테스트 실행 로그'!H$6:H$1022))), 0))), "결과 없음" )</f>
        <v>Y</v>
      </c>
      <c r="H44" s="19" cm="1">
        <f t="array" ref="H44">IFERROR( IF(MAX(IF(('테스트 실행 로그'!C$6:C$1022=C44)*('테스트 실행 로그'!H$6:H$1022&lt;&gt;""), '테스트 실행 로그'!H$6:H$1022))=0, "날짜 없음", MAX(IF(('테스트 실행 로그'!C$6:C$1022=C44)*('테스트 실행 로그'!H$6:H$1022&lt;&gt;""), '테스트 실행 로그'!H$6:H$1022))), "날짜 없음" )</f>
        <v>45747</v>
      </c>
      <c r="I44" s="34" t="str" cm="1">
        <f t="array" ref="I44">IFERROR(IF(LEN(INDEX('테스트 실행 로그'!I$6:I$1022, MATCH(1, ('테스트 실행 로그'!C$6:C$1022=C44)*('테스트 실행 로그'!H$6:H$1022=MAX(IF('테스트 실행 로그'!C$6:C$1022=C44, '테스트 실행 로그'!H$6:H$1022))), 0)))=0,"이슈 없음",INDEX('테스트 실행 로그'!I$6:I$1022, MATCH(1, ('테스트 실행 로그'!C$6:C$1022=C44)*('테스트 실행 로그'!H$6:H$1022=MAX(IF('테스트 실행 로그'!C$6:C$1022=C44, '테스트 실행 로그'!H$6:H$1022))), 0))),"이슈 없음")</f>
        <v>이슈 없음</v>
      </c>
    </row>
    <row r="45" spans="1:9" x14ac:dyDescent="0.3">
      <c r="A45" s="41"/>
      <c r="B45" s="40"/>
      <c r="C45" s="3" t="s">
        <v>184</v>
      </c>
      <c r="D45" s="5" t="s">
        <v>115</v>
      </c>
      <c r="E45" s="5" t="s">
        <v>114</v>
      </c>
      <c r="F45" s="5" t="s">
        <v>113</v>
      </c>
      <c r="G45" s="18" t="str" cm="1">
        <f t="array" ref="G45">IFERROR( IF(LEN(INDEX('테스트 실행 로그'!G$6:G$1022, MATCH(1, ('테스트 실행 로그'!C$6:C$1022=C45)*('테스트 실행 로그'!H$6:H$1022=MAX(IF(('테스트 실행 로그'!C$6:C$1022=C45)*('테스트 실행 로그'!H$6:H$1022&lt;&gt;""), '테스트 실행 로그'!H$6:H$1022))), 0)))=0, "결과 없음", INDEX('테스트 실행 로그'!G$6:G$1022, MATCH(1, ('테스트 실행 로그'!C$6:C$1022=C45)*('테스트 실행 로그'!H$6:H$1022=MAX(IF(('테스트 실행 로그'!C$6:C$1022=C45)*('테스트 실행 로그'!H$6:H$1022&lt;&gt;""), '테스트 실행 로그'!H$6:H$1022))), 0))), "결과 없음" )</f>
        <v>Y</v>
      </c>
      <c r="H45" s="19" cm="1">
        <f t="array" ref="H45">IFERROR( IF(MAX(IF(('테스트 실행 로그'!C$6:C$1022=C45)*('테스트 실행 로그'!H$6:H$1022&lt;&gt;""), '테스트 실행 로그'!H$6:H$1022))=0, "날짜 없음", MAX(IF(('테스트 실행 로그'!C$6:C$1022=C45)*('테스트 실행 로그'!H$6:H$1022&lt;&gt;""), '테스트 실행 로그'!H$6:H$1022))), "날짜 없음" )</f>
        <v>45747</v>
      </c>
      <c r="I45" s="34" t="str" cm="1">
        <f t="array" ref="I45">IFERROR(IF(LEN(INDEX('테스트 실행 로그'!I$6:I$1022, MATCH(1, ('테스트 실행 로그'!C$6:C$1022=C45)*('테스트 실행 로그'!H$6:H$1022=MAX(IF('테스트 실행 로그'!C$6:C$1022=C45, '테스트 실행 로그'!H$6:H$1022))), 0)))=0,"이슈 없음",INDEX('테스트 실행 로그'!I$6:I$1022, MATCH(1, ('테스트 실행 로그'!C$6:C$1022=C45)*('테스트 실행 로그'!H$6:H$1022=MAX(IF('테스트 실행 로그'!C$6:C$1022=C45, '테스트 실행 로그'!H$6:H$1022))), 0))),"이슈 없음")</f>
        <v>이슈 없음</v>
      </c>
    </row>
    <row r="46" spans="1:9" ht="27" x14ac:dyDescent="0.3">
      <c r="A46" s="41"/>
      <c r="B46" s="42" t="s">
        <v>137</v>
      </c>
      <c r="C46" s="3" t="s">
        <v>185</v>
      </c>
      <c r="D46" s="5" t="s">
        <v>211</v>
      </c>
      <c r="E46" s="5" t="s">
        <v>116</v>
      </c>
      <c r="F46" s="5" t="s">
        <v>139</v>
      </c>
      <c r="G46" s="18" t="str" cm="1">
        <f t="array" ref="G46">IFERROR( IF(LEN(INDEX('테스트 실행 로그'!G$6:G$1022, MATCH(1, ('테스트 실행 로그'!C$6:C$1022=C46)*('테스트 실행 로그'!H$6:H$1022=MAX(IF(('테스트 실행 로그'!C$6:C$1022=C46)*('테스트 실행 로그'!H$6:H$1022&lt;&gt;""), '테스트 실행 로그'!H$6:H$1022))), 0)))=0, "결과 없음", INDEX('테스트 실행 로그'!G$6:G$1022, MATCH(1, ('테스트 실행 로그'!C$6:C$1022=C46)*('테스트 실행 로그'!H$6:H$1022=MAX(IF(('테스트 실행 로그'!C$6:C$1022=C46)*('테스트 실행 로그'!H$6:H$1022&lt;&gt;""), '테스트 실행 로그'!H$6:H$1022))), 0))), "결과 없음" )</f>
        <v>Y</v>
      </c>
      <c r="H46" s="19" cm="1">
        <f t="array" ref="H46">IFERROR( IF(MAX(IF(('테스트 실행 로그'!C$6:C$1022=C46)*('테스트 실행 로그'!H$6:H$1022&lt;&gt;""), '테스트 실행 로그'!H$6:H$1022))=0, "날짜 없음", MAX(IF(('테스트 실행 로그'!C$6:C$1022=C46)*('테스트 실행 로그'!H$6:H$1022&lt;&gt;""), '테스트 실행 로그'!H$6:H$1022))), "날짜 없음" )</f>
        <v>45747</v>
      </c>
      <c r="I46" s="34" t="str" cm="1">
        <f t="array" ref="I46">IFERROR(IF(LEN(INDEX('테스트 실행 로그'!I$6:I$1022, MATCH(1, ('테스트 실행 로그'!C$6:C$1022=C46)*('테스트 실행 로그'!H$6:H$1022=MAX(IF('테스트 실행 로그'!C$6:C$1022=C46, '테스트 실행 로그'!H$6:H$1022))), 0)))=0,"이슈 없음",INDEX('테스트 실행 로그'!I$6:I$1022, MATCH(1, ('테스트 실행 로그'!C$6:C$1022=C46)*('테스트 실행 로그'!H$6:H$1022=MAX(IF('테스트 실행 로그'!C$6:C$1022=C46, '테스트 실행 로그'!H$6:H$1022))), 0))),"이슈 없음")</f>
        <v>이슈 없음</v>
      </c>
    </row>
    <row r="47" spans="1:9" ht="27" x14ac:dyDescent="0.3">
      <c r="A47" s="41"/>
      <c r="B47" s="42"/>
      <c r="C47" s="3" t="s">
        <v>186</v>
      </c>
      <c r="D47" s="5" t="s">
        <v>212</v>
      </c>
      <c r="E47" s="5" t="s">
        <v>117</v>
      </c>
      <c r="F47" s="5" t="s">
        <v>42</v>
      </c>
      <c r="G47" s="18" t="str" cm="1">
        <f t="array" ref="G47">IFERROR( IF(LEN(INDEX('테스트 실행 로그'!G$6:G$1022, MATCH(1, ('테스트 실행 로그'!C$6:C$1022=C47)*('테스트 실행 로그'!H$6:H$1022=MAX(IF(('테스트 실행 로그'!C$6:C$1022=C47)*('테스트 실행 로그'!H$6:H$1022&lt;&gt;""), '테스트 실행 로그'!H$6:H$1022))), 0)))=0, "결과 없음", INDEX('테스트 실행 로그'!G$6:G$1022, MATCH(1, ('테스트 실행 로그'!C$6:C$1022=C47)*('테스트 실행 로그'!H$6:H$1022=MAX(IF(('테스트 실행 로그'!C$6:C$1022=C47)*('테스트 실행 로그'!H$6:H$1022&lt;&gt;""), '테스트 실행 로그'!H$6:H$1022))), 0))), "결과 없음" )</f>
        <v>Y</v>
      </c>
      <c r="H47" s="19" cm="1">
        <f t="array" ref="H47">IFERROR( IF(MAX(IF(('테스트 실행 로그'!C$6:C$1022=C47)*('테스트 실행 로그'!H$6:H$1022&lt;&gt;""), '테스트 실행 로그'!H$6:H$1022))=0, "날짜 없음", MAX(IF(('테스트 실행 로그'!C$6:C$1022=C47)*('테스트 실행 로그'!H$6:H$1022&lt;&gt;""), '테스트 실행 로그'!H$6:H$1022))), "날짜 없음" )</f>
        <v>45747</v>
      </c>
      <c r="I47" s="34" t="str" cm="1">
        <f t="array" ref="I47">IFERROR(IF(LEN(INDEX('테스트 실행 로그'!I$6:I$1022, MATCH(1, ('테스트 실행 로그'!C$6:C$1022=C47)*('테스트 실행 로그'!H$6:H$1022=MAX(IF('테스트 실행 로그'!C$6:C$1022=C47, '테스트 실행 로그'!H$6:H$1022))), 0)))=0,"이슈 없음",INDEX('테스트 실행 로그'!I$6:I$1022, MATCH(1, ('테스트 실행 로그'!C$6:C$1022=C47)*('테스트 실행 로그'!H$6:H$1022=MAX(IF('테스트 실행 로그'!C$6:C$1022=C47, '테스트 실행 로그'!H$6:H$1022))), 0))),"이슈 없음")</f>
        <v>이슈 없음</v>
      </c>
    </row>
    <row r="48" spans="1:9" x14ac:dyDescent="0.3">
      <c r="A48" s="41"/>
      <c r="B48" s="3" t="s">
        <v>138</v>
      </c>
      <c r="C48" s="3" t="s">
        <v>187</v>
      </c>
      <c r="D48" s="5" t="s">
        <v>118</v>
      </c>
      <c r="E48" s="5" t="s">
        <v>119</v>
      </c>
      <c r="F48" s="5" t="s">
        <v>140</v>
      </c>
      <c r="G48" s="18" t="str" cm="1">
        <f t="array" ref="G48">IFERROR( IF(LEN(INDEX('테스트 실행 로그'!G$6:G$1022, MATCH(1, ('테스트 실행 로그'!C$6:C$1022=C48)*('테스트 실행 로그'!H$6:H$1022=MAX(IF(('테스트 실행 로그'!C$6:C$1022=C48)*('테스트 실행 로그'!H$6:H$1022&lt;&gt;""), '테스트 실행 로그'!H$6:H$1022))), 0)))=0, "결과 없음", INDEX('테스트 실행 로그'!G$6:G$1022, MATCH(1, ('테스트 실행 로그'!C$6:C$1022=C48)*('테스트 실행 로그'!H$6:H$1022=MAX(IF(('테스트 실행 로그'!C$6:C$1022=C48)*('테스트 실행 로그'!H$6:H$1022&lt;&gt;""), '테스트 실행 로그'!H$6:H$1022))), 0))), "결과 없음" )</f>
        <v>Y</v>
      </c>
      <c r="H48" s="19" cm="1">
        <f t="array" ref="H48">IFERROR( IF(MAX(IF(('테스트 실행 로그'!C$6:C$1022=C48)*('테스트 실행 로그'!H$6:H$1022&lt;&gt;""), '테스트 실행 로그'!H$6:H$1022))=0, "날짜 없음", MAX(IF(('테스트 실행 로그'!C$6:C$1022=C48)*('테스트 실행 로그'!H$6:H$1022&lt;&gt;""), '테스트 실행 로그'!H$6:H$1022))), "날짜 없음" )</f>
        <v>45747</v>
      </c>
      <c r="I48" s="34" t="str" cm="1">
        <f t="array" ref="I48">IFERROR(IF(LEN(INDEX('테스트 실행 로그'!I$6:I$1022, MATCH(1, ('테스트 실행 로그'!C$6:C$1022=C48)*('테스트 실행 로그'!H$6:H$1022=MAX(IF('테스트 실행 로그'!C$6:C$1022=C48, '테스트 실행 로그'!H$6:H$1022))), 0)))=0,"이슈 없음",INDEX('테스트 실행 로그'!I$6:I$1022, MATCH(1, ('테스트 실행 로그'!C$6:C$1022=C48)*('테스트 실행 로그'!H$6:H$1022=MAX(IF('테스트 실행 로그'!C$6:C$1022=C48, '테스트 실행 로그'!H$6:H$1022))), 0))),"이슈 없음")</f>
        <v>이슈 없음</v>
      </c>
    </row>
    <row r="49" spans="1:9" ht="27" x14ac:dyDescent="0.3">
      <c r="A49" s="41"/>
      <c r="B49" s="42" t="s">
        <v>120</v>
      </c>
      <c r="C49" s="3" t="s">
        <v>188</v>
      </c>
      <c r="D49" s="5" t="s">
        <v>122</v>
      </c>
      <c r="E49" s="5" t="s">
        <v>46</v>
      </c>
      <c r="F49" s="5" t="s">
        <v>93</v>
      </c>
      <c r="G49" s="18" t="str" cm="1">
        <f t="array" ref="G49">IFERROR( IF(LEN(INDEX('테스트 실행 로그'!G$6:G$1022, MATCH(1, ('테스트 실행 로그'!C$6:C$1022=C49)*('테스트 실행 로그'!H$6:H$1022=MAX(IF(('테스트 실행 로그'!C$6:C$1022=C49)*('테스트 실행 로그'!H$6:H$1022&lt;&gt;""), '테스트 실행 로그'!H$6:H$1022))), 0)))=0, "결과 없음", INDEX('테스트 실행 로그'!G$6:G$1022, MATCH(1, ('테스트 실행 로그'!C$6:C$1022=C49)*('테스트 실행 로그'!H$6:H$1022=MAX(IF(('테스트 실행 로그'!C$6:C$1022=C49)*('테스트 실행 로그'!H$6:H$1022&lt;&gt;""), '테스트 실행 로그'!H$6:H$1022))), 0))), "결과 없음" )</f>
        <v>Y</v>
      </c>
      <c r="H49" s="19" cm="1">
        <f t="array" ref="H49">IFERROR( IF(MAX(IF(('테스트 실행 로그'!C$6:C$1022=C49)*('테스트 실행 로그'!H$6:H$1022&lt;&gt;""), '테스트 실행 로그'!H$6:H$1022))=0, "날짜 없음", MAX(IF(('테스트 실행 로그'!C$6:C$1022=C49)*('테스트 실행 로그'!H$6:H$1022&lt;&gt;""), '테스트 실행 로그'!H$6:H$1022))), "날짜 없음" )</f>
        <v>45807</v>
      </c>
      <c r="I49" s="34" t="str" cm="1">
        <f t="array" ref="I49">IFERROR(IF(LEN(INDEX('테스트 실행 로그'!I$6:I$1022, MATCH(1, ('테스트 실행 로그'!C$6:C$1022=C49)*('테스트 실행 로그'!H$6:H$1022=MAX(IF('테스트 실행 로그'!C$6:C$1022=C49, '테스트 실행 로그'!H$6:H$1022))), 0)))=0,"이슈 없음",INDEX('테스트 실행 로그'!I$6:I$1022, MATCH(1, ('테스트 실행 로그'!C$6:C$1022=C49)*('테스트 실행 로그'!H$6:H$1022=MAX(IF('테스트 실행 로그'!C$6:C$1022=C49, '테스트 실행 로그'!H$6:H$1022))), 0))),"이슈 없음")</f>
        <v>이슈 없음</v>
      </c>
    </row>
    <row r="50" spans="1:9" ht="27" x14ac:dyDescent="0.3">
      <c r="A50" s="41"/>
      <c r="B50" s="42"/>
      <c r="C50" s="3" t="s">
        <v>189</v>
      </c>
      <c r="D50" s="5" t="s">
        <v>123</v>
      </c>
      <c r="E50" s="5" t="s">
        <v>49</v>
      </c>
      <c r="F50" s="5" t="s">
        <v>95</v>
      </c>
      <c r="G50" s="18" t="str" cm="1">
        <f t="array" ref="G50">IFERROR( IF(LEN(INDEX('테스트 실행 로그'!G$6:G$1022, MATCH(1, ('테스트 실행 로그'!C$6:C$1022=C50)*('테스트 실행 로그'!H$6:H$1022=MAX(IF(('테스트 실행 로그'!C$6:C$1022=C50)*('테스트 실행 로그'!H$6:H$1022&lt;&gt;""), '테스트 실행 로그'!H$6:H$1022))), 0)))=0, "결과 없음", INDEX('테스트 실행 로그'!G$6:G$1022, MATCH(1, ('테스트 실행 로그'!C$6:C$1022=C50)*('테스트 실행 로그'!H$6:H$1022=MAX(IF(('테스트 실행 로그'!C$6:C$1022=C50)*('테스트 실행 로그'!H$6:H$1022&lt;&gt;""), '테스트 실행 로그'!H$6:H$1022))), 0))), "결과 없음" )</f>
        <v>Y</v>
      </c>
      <c r="H50" s="19" cm="1">
        <f t="array" ref="H50">IFERROR( IF(MAX(IF(('테스트 실행 로그'!C$6:C$1022=C50)*('테스트 실행 로그'!H$6:H$1022&lt;&gt;""), '테스트 실행 로그'!H$6:H$1022))=0, "날짜 없음", MAX(IF(('테스트 실행 로그'!C$6:C$1022=C50)*('테스트 실행 로그'!H$6:H$1022&lt;&gt;""), '테스트 실행 로그'!H$6:H$1022))), "날짜 없음" )</f>
        <v>45807</v>
      </c>
      <c r="I50" s="34" t="str" cm="1">
        <f t="array" ref="I50">IFERROR(IF(LEN(INDEX('테스트 실행 로그'!I$6:I$1022, MATCH(1, ('테스트 실행 로그'!C$6:C$1022=C50)*('테스트 실행 로그'!H$6:H$1022=MAX(IF('테스트 실행 로그'!C$6:C$1022=C50, '테스트 실행 로그'!H$6:H$1022))), 0)))=0,"이슈 없음",INDEX('테스트 실행 로그'!I$6:I$1022, MATCH(1, ('테스트 실행 로그'!C$6:C$1022=C50)*('테스트 실행 로그'!H$6:H$1022=MAX(IF('테스트 실행 로그'!C$6:C$1022=C50, '테스트 실행 로그'!H$6:H$1022))), 0))),"이슈 없음")</f>
        <v>이슈 없음</v>
      </c>
    </row>
    <row r="51" spans="1:9" ht="27" x14ac:dyDescent="0.3">
      <c r="A51" s="41"/>
      <c r="B51" s="42"/>
      <c r="C51" s="3" t="s">
        <v>190</v>
      </c>
      <c r="D51" s="5" t="s">
        <v>124</v>
      </c>
      <c r="E51" s="5" t="s">
        <v>51</v>
      </c>
      <c r="F51" s="5" t="s">
        <v>94</v>
      </c>
      <c r="G51" s="18" t="str" cm="1">
        <f t="array" ref="G51">IFERROR( IF(LEN(INDEX('테스트 실행 로그'!G$6:G$1022, MATCH(1, ('테스트 실행 로그'!C$6:C$1022=C51)*('테스트 실행 로그'!H$6:H$1022=MAX(IF(('테스트 실행 로그'!C$6:C$1022=C51)*('테스트 실행 로그'!H$6:H$1022&lt;&gt;""), '테스트 실행 로그'!H$6:H$1022))), 0)))=0, "결과 없음", INDEX('테스트 실행 로그'!G$6:G$1022, MATCH(1, ('테스트 실행 로그'!C$6:C$1022=C51)*('테스트 실행 로그'!H$6:H$1022=MAX(IF(('테스트 실행 로그'!C$6:C$1022=C51)*('테스트 실행 로그'!H$6:H$1022&lt;&gt;""), '테스트 실행 로그'!H$6:H$1022))), 0))), "결과 없음" )</f>
        <v>Y</v>
      </c>
      <c r="H51" s="19" cm="1">
        <f t="array" ref="H51">IFERROR( IF(MAX(IF(('테스트 실행 로그'!C$6:C$1022=C51)*('테스트 실행 로그'!H$6:H$1022&lt;&gt;""), '테스트 실행 로그'!H$6:H$1022))=0, "날짜 없음", MAX(IF(('테스트 실행 로그'!C$6:C$1022=C51)*('테스트 실행 로그'!H$6:H$1022&lt;&gt;""), '테스트 실행 로그'!H$6:H$1022))), "날짜 없음" )</f>
        <v>45807</v>
      </c>
      <c r="I51" s="34" t="str" cm="1">
        <f t="array" ref="I51">IFERROR(IF(LEN(INDEX('테스트 실행 로그'!I$6:I$1022, MATCH(1, ('테스트 실행 로그'!C$6:C$1022=C51)*('테스트 실행 로그'!H$6:H$1022=MAX(IF('테스트 실행 로그'!C$6:C$1022=C51, '테스트 실행 로그'!H$6:H$1022))), 0)))=0,"이슈 없음",INDEX('테스트 실행 로그'!I$6:I$1022, MATCH(1, ('테스트 실행 로그'!C$6:C$1022=C51)*('테스트 실행 로그'!H$6:H$1022=MAX(IF('테스트 실행 로그'!C$6:C$1022=C51, '테스트 실행 로그'!H$6:H$1022))), 0))),"이슈 없음")</f>
        <v>이슈 없음</v>
      </c>
    </row>
    <row r="52" spans="1:9" ht="27" x14ac:dyDescent="0.3">
      <c r="A52" s="41"/>
      <c r="B52" s="42"/>
      <c r="C52" s="3" t="s">
        <v>191</v>
      </c>
      <c r="D52" s="5" t="s">
        <v>125</v>
      </c>
      <c r="E52" s="5" t="s">
        <v>53</v>
      </c>
      <c r="F52" s="5" t="s">
        <v>92</v>
      </c>
      <c r="G52" s="18" t="str" cm="1">
        <f t="array" ref="G52">IFERROR( IF(LEN(INDEX('테스트 실행 로그'!G$6:G$1022, MATCH(1, ('테스트 실행 로그'!C$6:C$1022=C52)*('테스트 실행 로그'!H$6:H$1022=MAX(IF(('테스트 실행 로그'!C$6:C$1022=C52)*('테스트 실행 로그'!H$6:H$1022&lt;&gt;""), '테스트 실행 로그'!H$6:H$1022))), 0)))=0, "결과 없음", INDEX('테스트 실행 로그'!G$6:G$1022, MATCH(1, ('테스트 실행 로그'!C$6:C$1022=C52)*('테스트 실행 로그'!H$6:H$1022=MAX(IF(('테스트 실행 로그'!C$6:C$1022=C52)*('테스트 실행 로그'!H$6:H$1022&lt;&gt;""), '테스트 실행 로그'!H$6:H$1022))), 0))), "결과 없음" )</f>
        <v>Y</v>
      </c>
      <c r="H52" s="19" cm="1">
        <f t="array" ref="H52">IFERROR( IF(MAX(IF(('테스트 실행 로그'!C$6:C$1022=C52)*('테스트 실행 로그'!H$6:H$1022&lt;&gt;""), '테스트 실행 로그'!H$6:H$1022))=0, "날짜 없음", MAX(IF(('테스트 실행 로그'!C$6:C$1022=C52)*('테스트 실행 로그'!H$6:H$1022&lt;&gt;""), '테스트 실행 로그'!H$6:H$1022))), "날짜 없음" )</f>
        <v>45807</v>
      </c>
      <c r="I52" s="34" t="str" cm="1">
        <f t="array" ref="I52">IFERROR(IF(LEN(INDEX('테스트 실행 로그'!I$6:I$1022, MATCH(1, ('테스트 실행 로그'!C$6:C$1022=C52)*('테스트 실행 로그'!H$6:H$1022=MAX(IF('테스트 실행 로그'!C$6:C$1022=C52, '테스트 실행 로그'!H$6:H$1022))), 0)))=0,"이슈 없음",INDEX('테스트 실행 로그'!I$6:I$1022, MATCH(1, ('테스트 실행 로그'!C$6:C$1022=C52)*('테스트 실행 로그'!H$6:H$1022=MAX(IF('테스트 실행 로그'!C$6:C$1022=C52, '테스트 실행 로그'!H$6:H$1022))), 0))),"이슈 없음")</f>
        <v>이슈 없음</v>
      </c>
    </row>
    <row r="53" spans="1:9" ht="27" x14ac:dyDescent="0.3">
      <c r="A53" s="41"/>
      <c r="B53" s="39" t="s">
        <v>121</v>
      </c>
      <c r="C53" s="3" t="s">
        <v>192</v>
      </c>
      <c r="D53" s="5" t="s">
        <v>126</v>
      </c>
      <c r="E53" s="5" t="s">
        <v>66</v>
      </c>
      <c r="F53" s="5" t="s">
        <v>141</v>
      </c>
      <c r="G53" s="18" t="str" cm="1">
        <f t="array" ref="G53">IFERROR( IF(LEN(INDEX('테스트 실행 로그'!G$6:G$1022, MATCH(1, ('테스트 실행 로그'!C$6:C$1022=C53)*('테스트 실행 로그'!H$6:H$1022=MAX(IF(('테스트 실행 로그'!C$6:C$1022=C53)*('테스트 실행 로그'!H$6:H$1022&lt;&gt;""), '테스트 실행 로그'!H$6:H$1022))), 0)))=0, "결과 없음", INDEX('테스트 실행 로그'!G$6:G$1022, MATCH(1, ('테스트 실행 로그'!C$6:C$1022=C53)*('테스트 실행 로그'!H$6:H$1022=MAX(IF(('테스트 실행 로그'!C$6:C$1022=C53)*('테스트 실행 로그'!H$6:H$1022&lt;&gt;""), '테스트 실행 로그'!H$6:H$1022))), 0))), "결과 없음" )</f>
        <v>Y</v>
      </c>
      <c r="H53" s="19" cm="1">
        <f t="array" ref="H53">IFERROR( IF(MAX(IF(('테스트 실행 로그'!C$6:C$1022=C53)*('테스트 실행 로그'!H$6:H$1022&lt;&gt;""), '테스트 실행 로그'!H$6:H$1022))=0, "날짜 없음", MAX(IF(('테스트 실행 로그'!C$6:C$1022=C53)*('테스트 실행 로그'!H$6:H$1022&lt;&gt;""), '테스트 실행 로그'!H$6:H$1022))), "날짜 없음" )</f>
        <v>45807</v>
      </c>
      <c r="I53" s="34" t="str" cm="1">
        <f t="array" ref="I53">IFERROR(IF(LEN(INDEX('테스트 실행 로그'!I$6:I$1022, MATCH(1, ('테스트 실행 로그'!C$6:C$1022=C53)*('테스트 실행 로그'!H$6:H$1022=MAX(IF('테스트 실행 로그'!C$6:C$1022=C53, '테스트 실행 로그'!H$6:H$1022))), 0)))=0,"이슈 없음",INDEX('테스트 실행 로그'!I$6:I$1022, MATCH(1, ('테스트 실행 로그'!C$6:C$1022=C53)*('테스트 실행 로그'!H$6:H$1022=MAX(IF('테스트 실행 로그'!C$6:C$1022=C53, '테스트 실행 로그'!H$6:H$1022))), 0))),"이슈 없음")</f>
        <v>이슈 없음</v>
      </c>
    </row>
    <row r="54" spans="1:9" ht="27" x14ac:dyDescent="0.3">
      <c r="A54" s="41"/>
      <c r="B54" s="41"/>
      <c r="C54" s="3" t="s">
        <v>193</v>
      </c>
      <c r="D54" s="5" t="s">
        <v>127</v>
      </c>
      <c r="E54" s="5" t="s">
        <v>69</v>
      </c>
      <c r="F54" s="5" t="s">
        <v>142</v>
      </c>
      <c r="G54" s="18" t="str" cm="1">
        <f t="array" ref="G54">IFERROR( IF(LEN(INDEX('테스트 실행 로그'!G$6:G$1022, MATCH(1, ('테스트 실행 로그'!C$6:C$1022=C54)*('테스트 실행 로그'!H$6:H$1022=MAX(IF(('테스트 실행 로그'!C$6:C$1022=C54)*('테스트 실행 로그'!H$6:H$1022&lt;&gt;""), '테스트 실행 로그'!H$6:H$1022))), 0)))=0, "결과 없음", INDEX('테스트 실행 로그'!G$6:G$1022, MATCH(1, ('테스트 실행 로그'!C$6:C$1022=C54)*('테스트 실행 로그'!H$6:H$1022=MAX(IF(('테스트 실행 로그'!C$6:C$1022=C54)*('테스트 실행 로그'!H$6:H$1022&lt;&gt;""), '테스트 실행 로그'!H$6:H$1022))), 0))), "결과 없음" )</f>
        <v>Y</v>
      </c>
      <c r="H54" s="19" cm="1">
        <f t="array" ref="H54">IFERROR( IF(MAX(IF(('테스트 실행 로그'!C$6:C$1022=C54)*('테스트 실행 로그'!H$6:H$1022&lt;&gt;""), '테스트 실행 로그'!H$6:H$1022))=0, "날짜 없음", MAX(IF(('테스트 실행 로그'!C$6:C$1022=C54)*('테스트 실행 로그'!H$6:H$1022&lt;&gt;""), '테스트 실행 로그'!H$6:H$1022))), "날짜 없음" )</f>
        <v>45807</v>
      </c>
      <c r="I54" s="34" t="str" cm="1">
        <f t="array" ref="I54">IFERROR(IF(LEN(INDEX('테스트 실행 로그'!I$6:I$1022, MATCH(1, ('테스트 실행 로그'!C$6:C$1022=C54)*('테스트 실행 로그'!H$6:H$1022=MAX(IF('테스트 실행 로그'!C$6:C$1022=C54, '테스트 실행 로그'!H$6:H$1022))), 0)))=0,"이슈 없음",INDEX('테스트 실행 로그'!I$6:I$1022, MATCH(1, ('테스트 실행 로그'!C$6:C$1022=C54)*('테스트 실행 로그'!H$6:H$1022=MAX(IF('테스트 실행 로그'!C$6:C$1022=C54, '테스트 실행 로그'!H$6:H$1022))), 0))),"이슈 없음")</f>
        <v>이슈 없음</v>
      </c>
    </row>
    <row r="55" spans="1:9" ht="27" x14ac:dyDescent="0.3">
      <c r="A55" s="41"/>
      <c r="B55" s="41"/>
      <c r="C55" s="3" t="s">
        <v>194</v>
      </c>
      <c r="D55" s="5" t="s">
        <v>128</v>
      </c>
      <c r="E55" s="5" t="s">
        <v>72</v>
      </c>
      <c r="F55" s="5" t="s">
        <v>91</v>
      </c>
      <c r="G55" s="18" t="str" cm="1">
        <f t="array" ref="G55">IFERROR( IF(LEN(INDEX('테스트 실행 로그'!G$6:G$1022, MATCH(1, ('테스트 실행 로그'!C$6:C$1022=C55)*('테스트 실행 로그'!H$6:H$1022=MAX(IF(('테스트 실행 로그'!C$6:C$1022=C55)*('테스트 실행 로그'!H$6:H$1022&lt;&gt;""), '테스트 실행 로그'!H$6:H$1022))), 0)))=0, "결과 없음", INDEX('테스트 실행 로그'!G$6:G$1022, MATCH(1, ('테스트 실행 로그'!C$6:C$1022=C55)*('테스트 실행 로그'!H$6:H$1022=MAX(IF(('테스트 실행 로그'!C$6:C$1022=C55)*('테스트 실행 로그'!H$6:H$1022&lt;&gt;""), '테스트 실행 로그'!H$6:H$1022))), 0))), "결과 없음" )</f>
        <v>Y</v>
      </c>
      <c r="H55" s="19" cm="1">
        <f t="array" ref="H55">IFERROR( IF(MAX(IF(('테스트 실행 로그'!C$6:C$1022=C55)*('테스트 실행 로그'!H$6:H$1022&lt;&gt;""), '테스트 실행 로그'!H$6:H$1022))=0, "날짜 없음", MAX(IF(('테스트 실행 로그'!C$6:C$1022=C55)*('테스트 실행 로그'!H$6:H$1022&lt;&gt;""), '테스트 실행 로그'!H$6:H$1022))), "날짜 없음" )</f>
        <v>45807</v>
      </c>
      <c r="I55" s="34" t="str" cm="1">
        <f t="array" ref="I55">IFERROR(IF(LEN(INDEX('테스트 실행 로그'!I$6:I$1022, MATCH(1, ('테스트 실행 로그'!C$6:C$1022=C55)*('테스트 실행 로그'!H$6:H$1022=MAX(IF('테스트 실행 로그'!C$6:C$1022=C55, '테스트 실행 로그'!H$6:H$1022))), 0)))=0,"이슈 없음",INDEX('테스트 실행 로그'!I$6:I$1022, MATCH(1, ('테스트 실행 로그'!C$6:C$1022=C55)*('테스트 실행 로그'!H$6:H$1022=MAX(IF('테스트 실행 로그'!C$6:C$1022=C55, '테스트 실행 로그'!H$6:H$1022))), 0))),"이슈 없음")</f>
        <v>이슈 없음</v>
      </c>
    </row>
    <row r="56" spans="1:9" ht="27" x14ac:dyDescent="0.3">
      <c r="A56" s="41"/>
      <c r="B56" s="41"/>
      <c r="C56" s="3" t="s">
        <v>195</v>
      </c>
      <c r="D56" s="5" t="s">
        <v>129</v>
      </c>
      <c r="E56" s="5" t="s">
        <v>90</v>
      </c>
      <c r="F56" s="5" t="s">
        <v>74</v>
      </c>
      <c r="G56" s="18" t="str" cm="1">
        <f t="array" ref="G56">IFERROR( IF(LEN(INDEX('테스트 실행 로그'!G$6:G$1022, MATCH(1, ('테스트 실행 로그'!C$6:C$1022=C56)*('테스트 실행 로그'!H$6:H$1022=MAX(IF(('테스트 실행 로그'!C$6:C$1022=C56)*('테스트 실행 로그'!H$6:H$1022&lt;&gt;""), '테스트 실행 로그'!H$6:H$1022))), 0)))=0, "결과 없음", INDEX('테스트 실행 로그'!G$6:G$1022, MATCH(1, ('테스트 실행 로그'!C$6:C$1022=C56)*('테스트 실행 로그'!H$6:H$1022=MAX(IF(('테스트 실행 로그'!C$6:C$1022=C56)*('테스트 실행 로그'!H$6:H$1022&lt;&gt;""), '테스트 실행 로그'!H$6:H$1022))), 0))), "결과 없음" )</f>
        <v>Y</v>
      </c>
      <c r="H56" s="19" cm="1">
        <f t="array" ref="H56">IFERROR( IF(MAX(IF(('테스트 실행 로그'!C$6:C$1022=C56)*('테스트 실행 로그'!H$6:H$1022&lt;&gt;""), '테스트 실행 로그'!H$6:H$1022))=0, "날짜 없음", MAX(IF(('테스트 실행 로그'!C$6:C$1022=C56)*('테스트 실행 로그'!H$6:H$1022&lt;&gt;""), '테스트 실행 로그'!H$6:H$1022))), "날짜 없음" )</f>
        <v>45807</v>
      </c>
      <c r="I56" s="34" t="str" cm="1">
        <f t="array" ref="I56">IFERROR(IF(LEN(INDEX('테스트 실행 로그'!I$6:I$1022, MATCH(1, ('테스트 실행 로그'!C$6:C$1022=C56)*('테스트 실행 로그'!H$6:H$1022=MAX(IF('테스트 실행 로그'!C$6:C$1022=C56, '테스트 실행 로그'!H$6:H$1022))), 0)))=0,"이슈 없음",INDEX('테스트 실행 로그'!I$6:I$1022, MATCH(1, ('테스트 실행 로그'!C$6:C$1022=C56)*('테스트 실행 로그'!H$6:H$1022=MAX(IF('테스트 실행 로그'!C$6:C$1022=C56, '테스트 실행 로그'!H$6:H$1022))), 0))),"이슈 없음")</f>
        <v>이슈 없음</v>
      </c>
    </row>
    <row r="57" spans="1:9" ht="27" x14ac:dyDescent="0.3">
      <c r="A57" s="41"/>
      <c r="B57" s="41"/>
      <c r="C57" s="3" t="s">
        <v>196</v>
      </c>
      <c r="D57" s="5" t="s">
        <v>130</v>
      </c>
      <c r="E57" s="5" t="s">
        <v>76</v>
      </c>
      <c r="F57" s="5" t="s">
        <v>77</v>
      </c>
      <c r="G57" s="18" t="str" cm="1">
        <f t="array" ref="G57">IFERROR( IF(LEN(INDEX('테스트 실행 로그'!G$6:G$1022, MATCH(1, ('테스트 실행 로그'!C$6:C$1022=C57)*('테스트 실행 로그'!H$6:H$1022=MAX(IF(('테스트 실행 로그'!C$6:C$1022=C57)*('테스트 실행 로그'!H$6:H$1022&lt;&gt;""), '테스트 실행 로그'!H$6:H$1022))), 0)))=0, "결과 없음", INDEX('테스트 실행 로그'!G$6:G$1022, MATCH(1, ('테스트 실행 로그'!C$6:C$1022=C57)*('테스트 실행 로그'!H$6:H$1022=MAX(IF(('테스트 실행 로그'!C$6:C$1022=C57)*('테스트 실행 로그'!H$6:H$1022&lt;&gt;""), '테스트 실행 로그'!H$6:H$1022))), 0))), "결과 없음" )</f>
        <v>Y</v>
      </c>
      <c r="H57" s="19" cm="1">
        <f t="array" ref="H57">IFERROR( IF(MAX(IF(('테스트 실행 로그'!C$6:C$1022=C57)*('테스트 실행 로그'!H$6:H$1022&lt;&gt;""), '테스트 실행 로그'!H$6:H$1022))=0, "날짜 없음", MAX(IF(('테스트 실행 로그'!C$6:C$1022=C57)*('테스트 실행 로그'!H$6:H$1022&lt;&gt;""), '테스트 실행 로그'!H$6:H$1022))), "날짜 없음" )</f>
        <v>45807</v>
      </c>
      <c r="I57" s="34" t="str" cm="1">
        <f t="array" ref="I57">IFERROR(IF(LEN(INDEX('테스트 실행 로그'!I$6:I$1022, MATCH(1, ('테스트 실행 로그'!C$6:C$1022=C57)*('테스트 실행 로그'!H$6:H$1022=MAX(IF('테스트 실행 로그'!C$6:C$1022=C57, '테스트 실행 로그'!H$6:H$1022))), 0)))=0,"이슈 없음",INDEX('테스트 실행 로그'!I$6:I$1022, MATCH(1, ('테스트 실행 로그'!C$6:C$1022=C57)*('테스트 실행 로그'!H$6:H$1022=MAX(IF('테스트 실행 로그'!C$6:C$1022=C57, '테스트 실행 로그'!H$6:H$1022))), 0))),"이슈 없음")</f>
        <v>이슈 없음</v>
      </c>
    </row>
    <row r="58" spans="1:9" ht="27" x14ac:dyDescent="0.3">
      <c r="A58" s="41"/>
      <c r="B58" s="41"/>
      <c r="C58" s="3" t="s">
        <v>197</v>
      </c>
      <c r="D58" s="5" t="s">
        <v>131</v>
      </c>
      <c r="E58" s="5" t="s">
        <v>79</v>
      </c>
      <c r="F58" s="5" t="s">
        <v>80</v>
      </c>
      <c r="G58" s="18" t="str" cm="1">
        <f t="array" ref="G58">IFERROR( IF(LEN(INDEX('테스트 실행 로그'!G$6:G$1022, MATCH(1, ('테스트 실행 로그'!C$6:C$1022=C58)*('테스트 실행 로그'!H$6:H$1022=MAX(IF(('테스트 실행 로그'!C$6:C$1022=C58)*('테스트 실행 로그'!H$6:H$1022&lt;&gt;""), '테스트 실행 로그'!H$6:H$1022))), 0)))=0, "결과 없음", INDEX('테스트 실행 로그'!G$6:G$1022, MATCH(1, ('테스트 실행 로그'!C$6:C$1022=C58)*('테스트 실행 로그'!H$6:H$1022=MAX(IF(('테스트 실행 로그'!C$6:C$1022=C58)*('테스트 실행 로그'!H$6:H$1022&lt;&gt;""), '테스트 실행 로그'!H$6:H$1022))), 0))), "결과 없음" )</f>
        <v>Y</v>
      </c>
      <c r="H58" s="19" cm="1">
        <f t="array" ref="H58">IFERROR( IF(MAX(IF(('테스트 실행 로그'!C$6:C$1022=C58)*('테스트 실행 로그'!H$6:H$1022&lt;&gt;""), '테스트 실행 로그'!H$6:H$1022))=0, "날짜 없음", MAX(IF(('테스트 실행 로그'!C$6:C$1022=C58)*('테스트 실행 로그'!H$6:H$1022&lt;&gt;""), '테스트 실행 로그'!H$6:H$1022))), "날짜 없음" )</f>
        <v>45807</v>
      </c>
      <c r="I58" s="34" t="str" cm="1">
        <f t="array" ref="I58">IFERROR(IF(LEN(INDEX('테스트 실행 로그'!I$6:I$1022, MATCH(1, ('테스트 실행 로그'!C$6:C$1022=C58)*('테스트 실행 로그'!H$6:H$1022=MAX(IF('테스트 실행 로그'!C$6:C$1022=C58, '테스트 실행 로그'!H$6:H$1022))), 0)))=0,"이슈 없음",INDEX('테스트 실행 로그'!I$6:I$1022, MATCH(1, ('테스트 실행 로그'!C$6:C$1022=C58)*('테스트 실행 로그'!H$6:H$1022=MAX(IF('테스트 실행 로그'!C$6:C$1022=C58, '테스트 실행 로그'!H$6:H$1022))), 0))),"이슈 없음")</f>
        <v>이슈 없음</v>
      </c>
    </row>
    <row r="59" spans="1:9" ht="27" x14ac:dyDescent="0.3">
      <c r="A59" s="41"/>
      <c r="B59" s="41"/>
      <c r="C59" s="3" t="s">
        <v>198</v>
      </c>
      <c r="D59" s="5" t="s">
        <v>132</v>
      </c>
      <c r="E59" s="5" t="s">
        <v>82</v>
      </c>
      <c r="F59" s="5" t="s">
        <v>83</v>
      </c>
      <c r="G59" s="18" t="str" cm="1">
        <f t="array" ref="G59">IFERROR( IF(LEN(INDEX('테스트 실행 로그'!G$6:G$1022, MATCH(1, ('테스트 실행 로그'!C$6:C$1022=C59)*('테스트 실행 로그'!H$6:H$1022=MAX(IF(('테스트 실행 로그'!C$6:C$1022=C59)*('테스트 실행 로그'!H$6:H$1022&lt;&gt;""), '테스트 실행 로그'!H$6:H$1022))), 0)))=0, "결과 없음", INDEX('테스트 실행 로그'!G$6:G$1022, MATCH(1, ('테스트 실행 로그'!C$6:C$1022=C59)*('테스트 실행 로그'!H$6:H$1022=MAX(IF(('테스트 실행 로그'!C$6:C$1022=C59)*('테스트 실행 로그'!H$6:H$1022&lt;&gt;""), '테스트 실행 로그'!H$6:H$1022))), 0))), "결과 없음" )</f>
        <v>Y</v>
      </c>
      <c r="H59" s="19" cm="1">
        <f t="array" ref="H59">IFERROR( IF(MAX(IF(('테스트 실행 로그'!C$6:C$1022=C59)*('테스트 실행 로그'!H$6:H$1022&lt;&gt;""), '테스트 실행 로그'!H$6:H$1022))=0, "날짜 없음", MAX(IF(('테스트 실행 로그'!C$6:C$1022=C59)*('테스트 실행 로그'!H$6:H$1022&lt;&gt;""), '테스트 실행 로그'!H$6:H$1022))), "날짜 없음" )</f>
        <v>45807</v>
      </c>
      <c r="I59" s="34" t="str" cm="1">
        <f t="array" ref="I59">IFERROR(IF(LEN(INDEX('테스트 실행 로그'!I$6:I$1022, MATCH(1, ('테스트 실행 로그'!C$6:C$1022=C59)*('테스트 실행 로그'!H$6:H$1022=MAX(IF('테스트 실행 로그'!C$6:C$1022=C59, '테스트 실행 로그'!H$6:H$1022))), 0)))=0,"이슈 없음",INDEX('테스트 실행 로그'!I$6:I$1022, MATCH(1, ('테스트 실행 로그'!C$6:C$1022=C59)*('테스트 실행 로그'!H$6:H$1022=MAX(IF('테스트 실행 로그'!C$6:C$1022=C59, '테스트 실행 로그'!H$6:H$1022))), 0))),"이슈 없음")</f>
        <v>이슈 없음</v>
      </c>
    </row>
    <row r="60" spans="1:9" ht="27" x14ac:dyDescent="0.3">
      <c r="A60" s="41"/>
      <c r="B60" s="41"/>
      <c r="C60" s="3" t="s">
        <v>199</v>
      </c>
      <c r="D60" s="5" t="s">
        <v>133</v>
      </c>
      <c r="E60" s="5" t="s">
        <v>85</v>
      </c>
      <c r="F60" s="5" t="s">
        <v>86</v>
      </c>
      <c r="G60" s="18" t="str" cm="1">
        <f t="array" ref="G60">IFERROR( IF(LEN(INDEX('테스트 실행 로그'!G$6:G$1022, MATCH(1, ('테스트 실행 로그'!C$6:C$1022=C60)*('테스트 실행 로그'!H$6:H$1022=MAX(IF(('테스트 실행 로그'!C$6:C$1022=C60)*('테스트 실행 로그'!H$6:H$1022&lt;&gt;""), '테스트 실행 로그'!H$6:H$1022))), 0)))=0, "결과 없음", INDEX('테스트 실행 로그'!G$6:G$1022, MATCH(1, ('테스트 실행 로그'!C$6:C$1022=C60)*('테스트 실행 로그'!H$6:H$1022=MAX(IF(('테스트 실행 로그'!C$6:C$1022=C60)*('테스트 실행 로그'!H$6:H$1022&lt;&gt;""), '테스트 실행 로그'!H$6:H$1022))), 0))), "결과 없음" )</f>
        <v>Y</v>
      </c>
      <c r="H60" s="19" cm="1">
        <f t="array" ref="H60">IFERROR( IF(MAX(IF(('테스트 실행 로그'!C$6:C$1022=C60)*('테스트 실행 로그'!H$6:H$1022&lt;&gt;""), '테스트 실행 로그'!H$6:H$1022))=0, "날짜 없음", MAX(IF(('테스트 실행 로그'!C$6:C$1022=C60)*('테스트 실행 로그'!H$6:H$1022&lt;&gt;""), '테스트 실행 로그'!H$6:H$1022))), "날짜 없음" )</f>
        <v>45807</v>
      </c>
      <c r="I60" s="34" t="str" cm="1">
        <f t="array" ref="I60">IFERROR(IF(LEN(INDEX('테스트 실행 로그'!I$6:I$1022, MATCH(1, ('테스트 실행 로그'!C$6:C$1022=C60)*('테스트 실행 로그'!H$6:H$1022=MAX(IF('테스트 실행 로그'!C$6:C$1022=C60, '테스트 실행 로그'!H$6:H$1022))), 0)))=0,"이슈 없음",INDEX('테스트 실행 로그'!I$6:I$1022, MATCH(1, ('테스트 실행 로그'!C$6:C$1022=C60)*('테스트 실행 로그'!H$6:H$1022=MAX(IF('테스트 실행 로그'!C$6:C$1022=C60, '테스트 실행 로그'!H$6:H$1022))), 0))),"이슈 없음")</f>
        <v>이슈 없음</v>
      </c>
    </row>
    <row r="61" spans="1:9" x14ac:dyDescent="0.3">
      <c r="A61" s="41"/>
      <c r="B61" s="40"/>
      <c r="C61" s="3" t="s">
        <v>200</v>
      </c>
      <c r="D61" s="5" t="s">
        <v>134</v>
      </c>
      <c r="E61" s="5" t="s">
        <v>88</v>
      </c>
      <c r="F61" s="5" t="s">
        <v>89</v>
      </c>
      <c r="G61" s="18" t="str" cm="1">
        <f t="array" ref="G61">IFERROR( IF(LEN(INDEX('테스트 실행 로그'!G$6:G$1022, MATCH(1, ('테스트 실행 로그'!C$6:C$1022=C61)*('테스트 실행 로그'!H$6:H$1022=MAX(IF(('테스트 실행 로그'!C$6:C$1022=C61)*('테스트 실행 로그'!H$6:H$1022&lt;&gt;""), '테스트 실행 로그'!H$6:H$1022))), 0)))=0, "결과 없음", INDEX('테스트 실행 로그'!G$6:G$1022, MATCH(1, ('테스트 실행 로그'!C$6:C$1022=C61)*('테스트 실행 로그'!H$6:H$1022=MAX(IF(('테스트 실행 로그'!C$6:C$1022=C61)*('테스트 실행 로그'!H$6:H$1022&lt;&gt;""), '테스트 실행 로그'!H$6:H$1022))), 0))), "결과 없음" )</f>
        <v>Y</v>
      </c>
      <c r="H61" s="19" cm="1">
        <f t="array" ref="H61">IFERROR( IF(MAX(IF(('테스트 실행 로그'!C$6:C$1022=C61)*('테스트 실행 로그'!H$6:H$1022&lt;&gt;""), '테스트 실행 로그'!H$6:H$1022))=0, "날짜 없음", MAX(IF(('테스트 실행 로그'!C$6:C$1022=C61)*('테스트 실행 로그'!H$6:H$1022&lt;&gt;""), '테스트 실행 로그'!H$6:H$1022))), "날짜 없음" )</f>
        <v>45807</v>
      </c>
      <c r="I61" s="34" t="str" cm="1">
        <f t="array" ref="I61">IFERROR(IF(LEN(INDEX('테스트 실행 로그'!I$6:I$1022, MATCH(1, ('테스트 실행 로그'!C$6:C$1022=C61)*('테스트 실행 로그'!H$6:H$1022=MAX(IF('테스트 실행 로그'!C$6:C$1022=C61, '테스트 실행 로그'!H$6:H$1022))), 0)))=0,"이슈 없음",INDEX('테스트 실행 로그'!I$6:I$1022, MATCH(1, ('테스트 실행 로그'!C$6:C$1022=C61)*('테스트 실행 로그'!H$6:H$1022=MAX(IF('테스트 실행 로그'!C$6:C$1022=C61, '테스트 실행 로그'!H$6:H$1022))), 0))),"이슈 없음")</f>
        <v>이슈 없음</v>
      </c>
    </row>
    <row r="62" spans="1:9" ht="27" x14ac:dyDescent="0.3">
      <c r="A62" s="41"/>
      <c r="B62" s="39" t="s">
        <v>213</v>
      </c>
      <c r="C62" s="3" t="s">
        <v>201</v>
      </c>
      <c r="D62" s="28" t="s">
        <v>215</v>
      </c>
      <c r="E62" s="28" t="s">
        <v>216</v>
      </c>
      <c r="F62" s="5" t="s">
        <v>217</v>
      </c>
      <c r="G62" s="18" t="str" cm="1">
        <f t="array" ref="G62">IFERROR( IF(LEN(INDEX('테스트 실행 로그'!G$6:G$1022, MATCH(1, ('테스트 실행 로그'!C$6:C$1022=C62)*('테스트 실행 로그'!H$6:H$1022=MAX(IF(('테스트 실행 로그'!C$6:C$1022=C62)*('테스트 실행 로그'!H$6:H$1022&lt;&gt;""), '테스트 실행 로그'!H$6:H$1022))), 0)))=0, "결과 없음", INDEX('테스트 실행 로그'!G$6:G$1022, MATCH(1, ('테스트 실행 로그'!C$6:C$1022=C62)*('테스트 실행 로그'!H$6:H$1022=MAX(IF(('테스트 실행 로그'!C$6:C$1022=C62)*('테스트 실행 로그'!H$6:H$1022&lt;&gt;""), '테스트 실행 로그'!H$6:H$1022))), 0))), "결과 없음" )</f>
        <v>Y</v>
      </c>
      <c r="H62" s="19" cm="1">
        <f t="array" ref="H62">IFERROR( IF(MAX(IF(('테스트 실행 로그'!C$6:C$1022=C62)*('테스트 실행 로그'!H$6:H$1022&lt;&gt;""), '테스트 실행 로그'!H$6:H$1022))=0, "날짜 없음", MAX(IF(('테스트 실행 로그'!C$6:C$1022=C62)*('테스트 실행 로그'!H$6:H$1022&lt;&gt;""), '테스트 실행 로그'!H$6:H$1022))), "날짜 없음" )</f>
        <v>45747</v>
      </c>
      <c r="I62" s="34" t="str" cm="1">
        <f t="array" ref="I62">IFERROR(IF(LEN(INDEX('테스트 실행 로그'!I$6:I$1022, MATCH(1, ('테스트 실행 로그'!C$6:C$1022=C62)*('테스트 실행 로그'!H$6:H$1022=MAX(IF('테스트 실행 로그'!C$6:C$1022=C62, '테스트 실행 로그'!H$6:H$1022))), 0)))=0,"이슈 없음",INDEX('테스트 실행 로그'!I$6:I$1022, MATCH(1, ('테스트 실행 로그'!C$6:C$1022=C62)*('테스트 실행 로그'!H$6:H$1022=MAX(IF('테스트 실행 로그'!C$6:C$1022=C62, '테스트 실행 로그'!H$6:H$1022))), 0))),"이슈 없음")</f>
        <v>이슈 없음</v>
      </c>
    </row>
    <row r="63" spans="1:9" x14ac:dyDescent="0.3">
      <c r="A63" s="41"/>
      <c r="B63" s="40"/>
      <c r="C63" s="3" t="s">
        <v>202</v>
      </c>
      <c r="D63" s="28" t="s">
        <v>218</v>
      </c>
      <c r="E63" s="28" t="s">
        <v>216</v>
      </c>
      <c r="F63" s="28" t="s">
        <v>225</v>
      </c>
      <c r="G63" s="18" t="str" cm="1">
        <f t="array" ref="G63">IFERROR( IF(LEN(INDEX('테스트 실행 로그'!G$6:G$1022, MATCH(1, ('테스트 실행 로그'!C$6:C$1022=C63)*('테스트 실행 로그'!H$6:H$1022=MAX(IF(('테스트 실행 로그'!C$6:C$1022=C63)*('테스트 실행 로그'!H$6:H$1022&lt;&gt;""), '테스트 실행 로그'!H$6:H$1022))), 0)))=0, "결과 없음", INDEX('테스트 실행 로그'!G$6:G$1022, MATCH(1, ('테스트 실행 로그'!C$6:C$1022=C63)*('테스트 실행 로그'!H$6:H$1022=MAX(IF(('테스트 실행 로그'!C$6:C$1022=C63)*('테스트 실행 로그'!H$6:H$1022&lt;&gt;""), '테스트 실행 로그'!H$6:H$1022))), 0))), "결과 없음" )</f>
        <v>Y</v>
      </c>
      <c r="H63" s="19" cm="1">
        <f t="array" ref="H63">IFERROR( IF(MAX(IF(('테스트 실행 로그'!C$6:C$1022=C63)*('테스트 실행 로그'!H$6:H$1022&lt;&gt;""), '테스트 실행 로그'!H$6:H$1022))=0, "날짜 없음", MAX(IF(('테스트 실행 로그'!C$6:C$1022=C63)*('테스트 실행 로그'!H$6:H$1022&lt;&gt;""), '테스트 실행 로그'!H$6:H$1022))), "날짜 없음" )</f>
        <v>45747</v>
      </c>
      <c r="I63" s="34" t="str" cm="1">
        <f t="array" ref="I63">IFERROR(IF(LEN(INDEX('테스트 실행 로그'!I$6:I$1022, MATCH(1, ('테스트 실행 로그'!C$6:C$1022=C63)*('테스트 실행 로그'!H$6:H$1022=MAX(IF('테스트 실행 로그'!C$6:C$1022=C63, '테스트 실행 로그'!H$6:H$1022))), 0)))=0,"이슈 없음",INDEX('테스트 실행 로그'!I$6:I$1022, MATCH(1, ('테스트 실행 로그'!C$6:C$1022=C63)*('테스트 실행 로그'!H$6:H$1022=MAX(IF('테스트 실행 로그'!C$6:C$1022=C63, '테스트 실행 로그'!H$6:H$1022))), 0))),"이슈 없음")</f>
        <v>이슈 없음</v>
      </c>
    </row>
    <row r="64" spans="1:9" x14ac:dyDescent="0.3">
      <c r="A64" s="41"/>
      <c r="B64" s="39" t="s">
        <v>214</v>
      </c>
      <c r="C64" s="3" t="s">
        <v>203</v>
      </c>
      <c r="D64" s="28" t="s">
        <v>219</v>
      </c>
      <c r="E64" s="28" t="s">
        <v>220</v>
      </c>
      <c r="F64" s="28" t="s">
        <v>221</v>
      </c>
      <c r="G64" s="18" t="str" cm="1">
        <f t="array" ref="G64">IFERROR( IF(LEN(INDEX('테스트 실행 로그'!G$6:G$1022, MATCH(1, ('테스트 실행 로그'!C$6:C$1022=C64)*('테스트 실행 로그'!H$6:H$1022=MAX(IF(('테스트 실행 로그'!C$6:C$1022=C64)*('테스트 실행 로그'!H$6:H$1022&lt;&gt;""), '테스트 실행 로그'!H$6:H$1022))), 0)))=0, "결과 없음", INDEX('테스트 실행 로그'!G$6:G$1022, MATCH(1, ('테스트 실행 로그'!C$6:C$1022=C64)*('테스트 실행 로그'!H$6:H$1022=MAX(IF(('테스트 실행 로그'!C$6:C$1022=C64)*('테스트 실행 로그'!H$6:H$1022&lt;&gt;""), '테스트 실행 로그'!H$6:H$1022))), 0))), "결과 없음" )</f>
        <v>Y</v>
      </c>
      <c r="H64" s="19" cm="1">
        <f t="array" ref="H64">IFERROR( IF(MAX(IF(('테스트 실행 로그'!C$6:C$1022=C64)*('테스트 실행 로그'!H$6:H$1022&lt;&gt;""), '테스트 실행 로그'!H$6:H$1022))=0, "날짜 없음", MAX(IF(('테스트 실행 로그'!C$6:C$1022=C64)*('테스트 실행 로그'!H$6:H$1022&lt;&gt;""), '테스트 실행 로그'!H$6:H$1022))), "날짜 없음" )</f>
        <v>45747</v>
      </c>
      <c r="I64" s="34" t="str" cm="1">
        <f t="array" ref="I64">IFERROR(IF(LEN(INDEX('테스트 실행 로그'!I$6:I$1022, MATCH(1, ('테스트 실행 로그'!C$6:C$1022=C64)*('테스트 실행 로그'!H$6:H$1022=MAX(IF('테스트 실행 로그'!C$6:C$1022=C64, '테스트 실행 로그'!H$6:H$1022))), 0)))=0,"이슈 없음",INDEX('테스트 실행 로그'!I$6:I$1022, MATCH(1, ('테스트 실행 로그'!C$6:C$1022=C64)*('테스트 실행 로그'!H$6:H$1022=MAX(IF('테스트 실행 로그'!C$6:C$1022=C64, '테스트 실행 로그'!H$6:H$1022))), 0))),"이슈 없음")</f>
        <v>이슈 없음</v>
      </c>
    </row>
    <row r="65" spans="1:9" x14ac:dyDescent="0.3">
      <c r="A65" s="41"/>
      <c r="B65" s="40"/>
      <c r="C65" s="3" t="s">
        <v>204</v>
      </c>
      <c r="D65" s="28" t="s">
        <v>222</v>
      </c>
      <c r="E65" s="28" t="s">
        <v>223</v>
      </c>
      <c r="F65" s="28" t="s">
        <v>224</v>
      </c>
      <c r="G65" s="18" t="str" cm="1">
        <f t="array" ref="G65">IFERROR( IF(LEN(INDEX('테스트 실행 로그'!G$6:G$1022, MATCH(1, ('테스트 실행 로그'!C$6:C$1022=C65)*('테스트 실행 로그'!H$6:H$1022=MAX(IF(('테스트 실행 로그'!C$6:C$1022=C65)*('테스트 실행 로그'!H$6:H$1022&lt;&gt;""), '테스트 실행 로그'!H$6:H$1022))), 0)))=0, "결과 없음", INDEX('테스트 실행 로그'!G$6:G$1022, MATCH(1, ('테스트 실행 로그'!C$6:C$1022=C65)*('테스트 실행 로그'!H$6:H$1022=MAX(IF(('테스트 실행 로그'!C$6:C$1022=C65)*('테스트 실행 로그'!H$6:H$1022&lt;&gt;""), '테스트 실행 로그'!H$6:H$1022))), 0))), "결과 없음" )</f>
        <v>Y</v>
      </c>
      <c r="H65" s="19" cm="1">
        <f t="array" ref="H65">IFERROR( IF(MAX(IF(('테스트 실행 로그'!C$6:C$1022=C65)*('테스트 실행 로그'!H$6:H$1022&lt;&gt;""), '테스트 실행 로그'!H$6:H$1022))=0, "날짜 없음", MAX(IF(('테스트 실행 로그'!C$6:C$1022=C65)*('테스트 실행 로그'!H$6:H$1022&lt;&gt;""), '테스트 실행 로그'!H$6:H$1022))), "날짜 없음" )</f>
        <v>45747</v>
      </c>
      <c r="I65" s="34" t="str" cm="1">
        <f t="array" ref="I65">IFERROR(IF(LEN(INDEX('테스트 실행 로그'!I$6:I$1022, MATCH(1, ('테스트 실행 로그'!C$6:C$1022=C65)*('테스트 실행 로그'!H$6:H$1022=MAX(IF('테스트 실행 로그'!C$6:C$1022=C65, '테스트 실행 로그'!H$6:H$1022))), 0)))=0,"이슈 없음",INDEX('테스트 실행 로그'!I$6:I$1022, MATCH(1, ('테스트 실행 로그'!C$6:C$1022=C65)*('테스트 실행 로그'!H$6:H$1022=MAX(IF('테스트 실행 로그'!C$6:C$1022=C65, '테스트 실행 로그'!H$6:H$1022))), 0))),"이슈 없음")</f>
        <v>이슈 없음</v>
      </c>
    </row>
    <row r="66" spans="1:9" ht="27" x14ac:dyDescent="0.3">
      <c r="A66" s="41"/>
      <c r="B66" s="39" t="s">
        <v>232</v>
      </c>
      <c r="C66" s="3" t="s">
        <v>205</v>
      </c>
      <c r="D66" s="28" t="s">
        <v>226</v>
      </c>
      <c r="E66" s="28" t="s">
        <v>227</v>
      </c>
      <c r="F66" s="28" t="s">
        <v>228</v>
      </c>
      <c r="G66" s="18" t="str" cm="1">
        <f t="array" ref="G66">IFERROR( IF(LEN(INDEX('테스트 실행 로그'!G$6:G$1022, MATCH(1, ('테스트 실행 로그'!C$6:C$1022=C66)*('테스트 실행 로그'!H$6:H$1022=MAX(IF(('테스트 실행 로그'!C$6:C$1022=C66)*('테스트 실행 로그'!H$6:H$1022&lt;&gt;""), '테스트 실행 로그'!H$6:H$1022))), 0)))=0, "결과 없음", INDEX('테스트 실행 로그'!G$6:G$1022, MATCH(1, ('테스트 실행 로그'!C$6:C$1022=C66)*('테스트 실행 로그'!H$6:H$1022=MAX(IF(('테스트 실행 로그'!C$6:C$1022=C66)*('테스트 실행 로그'!H$6:H$1022&lt;&gt;""), '테스트 실행 로그'!H$6:H$1022))), 0))), "결과 없음" )</f>
        <v>Y</v>
      </c>
      <c r="H66" s="19" cm="1">
        <f t="array" ref="H66">IFERROR( IF(MAX(IF(('테스트 실행 로그'!C$6:C$1022=C66)*('테스트 실행 로그'!H$6:H$1022&lt;&gt;""), '테스트 실행 로그'!H$6:H$1022))=0, "날짜 없음", MAX(IF(('테스트 실행 로그'!C$6:C$1022=C66)*('테스트 실행 로그'!H$6:H$1022&lt;&gt;""), '테스트 실행 로그'!H$6:H$1022))), "날짜 없음" )</f>
        <v>45757</v>
      </c>
      <c r="I66" s="34" t="str" cm="1">
        <f t="array" ref="I66">IFERROR(IF(LEN(INDEX('테스트 실행 로그'!I$6:I$1022, MATCH(1, ('테스트 실행 로그'!C$6:C$1022=C66)*('테스트 실행 로그'!H$6:H$1022=MAX(IF('테스트 실행 로그'!C$6:C$1022=C66, '테스트 실행 로그'!H$6:H$1022))), 0)))=0,"이슈 없음",INDEX('테스트 실행 로그'!I$6:I$1022, MATCH(1, ('테스트 실행 로그'!C$6:C$1022=C66)*('테스트 실행 로그'!H$6:H$1022=MAX(IF('테스트 실행 로그'!C$6:C$1022=C66, '테스트 실행 로그'!H$6:H$1022))), 0))),"이슈 없음")</f>
        <v>이슈 없음</v>
      </c>
    </row>
    <row r="67" spans="1:9" x14ac:dyDescent="0.3">
      <c r="A67" s="40"/>
      <c r="B67" s="40"/>
      <c r="C67" s="3" t="s">
        <v>250</v>
      </c>
      <c r="D67" s="28" t="s">
        <v>229</v>
      </c>
      <c r="E67" s="28" t="s">
        <v>230</v>
      </c>
      <c r="F67" s="28" t="s">
        <v>231</v>
      </c>
      <c r="G67" s="18" t="str" cm="1">
        <f t="array" ref="G67">IFERROR( IF(LEN(INDEX('테스트 실행 로그'!G$6:G$1022, MATCH(1, ('테스트 실행 로그'!C$6:C$1022=C67)*('테스트 실행 로그'!H$6:H$1022=MAX(IF(('테스트 실행 로그'!C$6:C$1022=C67)*('테스트 실행 로그'!H$6:H$1022&lt;&gt;""), '테스트 실행 로그'!H$6:H$1022))), 0)))=0, "결과 없음", INDEX('테스트 실행 로그'!G$6:G$1022, MATCH(1, ('테스트 실행 로그'!C$6:C$1022=C67)*('테스트 실행 로그'!H$6:H$1022=MAX(IF(('테스트 실행 로그'!C$6:C$1022=C67)*('테스트 실행 로그'!H$6:H$1022&lt;&gt;""), '테스트 실행 로그'!H$6:H$1022))), 0))), "결과 없음" )</f>
        <v>Y</v>
      </c>
      <c r="H67" s="19" cm="1">
        <f t="array" ref="H67">IFERROR( IF(MAX(IF(('테스트 실행 로그'!C$6:C$1022=C67)*('테스트 실행 로그'!H$6:H$1022&lt;&gt;""), '테스트 실행 로그'!H$6:H$1022))=0, "날짜 없음", MAX(IF(('테스트 실행 로그'!C$6:C$1022=C67)*('테스트 실행 로그'!H$6:H$1022&lt;&gt;""), '테스트 실행 로그'!H$6:H$1022))), "날짜 없음" )</f>
        <v>45747</v>
      </c>
      <c r="I67" s="34" t="str" cm="1">
        <f t="array" ref="I67">IFERROR(IF(LEN(INDEX('테스트 실행 로그'!I$6:I$1022, MATCH(1, ('테스트 실행 로그'!C$6:C$1022=C67)*('테스트 실행 로그'!H$6:H$1022=MAX(IF('테스트 실행 로그'!C$6:C$1022=C67, '테스트 실행 로그'!H$6:H$1022))), 0)))=0,"이슈 없음",INDEX('테스트 실행 로그'!I$6:I$1022, MATCH(1, ('테스트 실행 로그'!C$6:C$1022=C67)*('테스트 실행 로그'!H$6:H$1022=MAX(IF('테스트 실행 로그'!C$6:C$1022=C67, '테스트 실행 로그'!H$6:H$1022))), 0))),"이슈 없음")</f>
        <v>이슈 없음</v>
      </c>
    </row>
    <row r="68" spans="1:9" x14ac:dyDescent="0.3">
      <c r="A68" s="9"/>
      <c r="B68" s="3"/>
      <c r="C68" s="3"/>
      <c r="D68" s="28"/>
      <c r="E68" s="28"/>
      <c r="F68" s="28"/>
      <c r="G68" s="9"/>
      <c r="H68" s="31"/>
      <c r="I68" s="11"/>
    </row>
    <row r="69" spans="1:9" x14ac:dyDescent="0.3">
      <c r="A69" s="9"/>
      <c r="B69" s="3"/>
      <c r="C69" s="3"/>
      <c r="D69" s="28"/>
      <c r="E69" s="28"/>
      <c r="F69" s="28"/>
      <c r="G69" s="9"/>
      <c r="H69" s="31"/>
      <c r="I69" s="11"/>
    </row>
    <row r="70" spans="1:9" x14ac:dyDescent="0.3">
      <c r="A70" s="9"/>
      <c r="B70" s="3"/>
      <c r="C70" s="3"/>
      <c r="D70" s="28"/>
      <c r="E70" s="28"/>
      <c r="F70" s="28"/>
      <c r="G70" s="9"/>
      <c r="H70" s="31"/>
      <c r="I70" s="11"/>
    </row>
    <row r="71" spans="1:9" x14ac:dyDescent="0.3">
      <c r="A71" s="9"/>
      <c r="B71" s="3"/>
      <c r="C71" s="3"/>
      <c r="D71" s="28"/>
      <c r="E71" s="28"/>
      <c r="F71" s="28"/>
      <c r="G71" s="9"/>
      <c r="H71" s="31"/>
      <c r="I71" s="11"/>
    </row>
    <row r="72" spans="1:9" x14ac:dyDescent="0.3">
      <c r="A72" s="9"/>
      <c r="B72" s="3"/>
      <c r="C72" s="3"/>
      <c r="D72" s="28"/>
      <c r="E72" s="28"/>
      <c r="F72" s="28"/>
      <c r="G72" s="9"/>
      <c r="H72" s="31"/>
      <c r="I72" s="11"/>
    </row>
    <row r="73" spans="1:9" x14ac:dyDescent="0.3">
      <c r="A73" s="9"/>
      <c r="B73" s="3"/>
      <c r="C73" s="3"/>
      <c r="D73" s="28"/>
      <c r="E73" s="28"/>
      <c r="F73" s="28"/>
      <c r="G73" s="9"/>
      <c r="H73" s="31"/>
      <c r="I73" s="11"/>
    </row>
    <row r="74" spans="1:9" x14ac:dyDescent="0.3">
      <c r="A74" s="9"/>
      <c r="B74" s="3"/>
      <c r="C74" s="3"/>
      <c r="D74" s="28"/>
      <c r="E74" s="28"/>
      <c r="F74" s="28"/>
      <c r="G74" s="9"/>
      <c r="H74" s="31"/>
      <c r="I74" s="11"/>
    </row>
    <row r="75" spans="1:9" x14ac:dyDescent="0.3">
      <c r="A75" s="9"/>
      <c r="B75" s="3"/>
      <c r="C75" s="3"/>
      <c r="D75" s="28"/>
      <c r="E75" s="28"/>
      <c r="F75" s="28"/>
      <c r="G75" s="9"/>
      <c r="H75" s="31"/>
      <c r="I75" s="11"/>
    </row>
    <row r="76" spans="1:9" x14ac:dyDescent="0.3">
      <c r="A76" s="9"/>
      <c r="B76" s="3"/>
      <c r="C76" s="3"/>
      <c r="D76" s="28"/>
      <c r="E76" s="28"/>
      <c r="F76" s="28"/>
      <c r="G76" s="9"/>
      <c r="H76" s="31"/>
      <c r="I76" s="11"/>
    </row>
    <row r="77" spans="1:9" x14ac:dyDescent="0.3">
      <c r="A77" s="9"/>
      <c r="B77" s="3"/>
      <c r="C77" s="3"/>
      <c r="D77" s="28"/>
      <c r="E77" s="28"/>
      <c r="F77" s="28"/>
      <c r="G77" s="9"/>
      <c r="H77" s="31"/>
      <c r="I77" s="11"/>
    </row>
    <row r="79" spans="1:9" x14ac:dyDescent="0.3">
      <c r="A79" s="17" t="s">
        <v>57</v>
      </c>
      <c r="B79" s="7"/>
      <c r="C79" s="7"/>
      <c r="D79" s="7"/>
      <c r="E79" s="7"/>
      <c r="F79" s="7"/>
    </row>
    <row r="80" spans="1:9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20" t="s">
        <v>5</v>
      </c>
      <c r="G80" s="23" t="s">
        <v>6</v>
      </c>
      <c r="H80" s="23" t="s">
        <v>7</v>
      </c>
      <c r="I80" s="24" t="s">
        <v>8</v>
      </c>
    </row>
    <row r="81" spans="1:9" ht="27" x14ac:dyDescent="0.3">
      <c r="A81" s="4" t="s">
        <v>208</v>
      </c>
      <c r="B81" s="3"/>
      <c r="C81" s="5" t="s">
        <v>207</v>
      </c>
      <c r="D81" s="5"/>
      <c r="E81" s="5"/>
      <c r="F81" s="5"/>
      <c r="G81" s="21" t="str" cm="1">
        <f t="array" ref="G81">IFERROR( IF(LEN(INDEX('테스트 실행 로그'!G$81:G$1022, MATCH(1, ('테스트 실행 로그'!C$81:C$1022=C81)*('테스트 실행 로그'!H$81:H$1022=MAX(IF(('테스트 실행 로그'!C$81:C$1022=C81)*('테스트 실행 로그'!H$81:H$1022&lt;&gt;""), '테스트 실행 로그'!H$81:H$1022))), 0)))=0, "결과 없음", INDEX('테스트 실행 로그'!G$81:G$1022, MATCH(1, ('테스트 실행 로그'!C$81:C$1022=C81)*('테스트 실행 로그'!H$81:H$1022=MAX(IF(('테스트 실행 로그'!C$81:C$1022=C81)*('테스트 실행 로그'!H$81:H$1022&lt;&gt;""), '테스트 실행 로그'!H$81:H$1022))), 0))), "결과 없음" )</f>
        <v>결과 없음</v>
      </c>
      <c r="H81" s="22" t="str" cm="1">
        <f t="array" ref="H81">IFERROR( IF(MAX(IF(('테스트 실행 로그'!C$81:C$1022=C81)*('테스트 실행 로그'!H$81:H$1022&lt;&gt;""), '테스트 실행 로그'!H$81:H$1022))=0, "날짜 없음", MAX(IF(('테스트 실행 로그'!C$81:C$1022=C81)*('테스트 실행 로그'!H$81:H$1022&lt;&gt;""), '테스트 실행 로그'!H$81:H$1022))), "날짜 없음" )</f>
        <v>날짜 없음</v>
      </c>
      <c r="I81" s="36" t="str" cm="1">
        <f t="array" ref="I81">IFERROR( IF(LEN(INDEX('테스트 실행 로그'!I$81:I$1022, MATCH(1, ('테스트 실행 로그'!C$81:C$1022=C81)*('테스트 실행 로그'!H$81:H$1022=MAX(IF('테스트 실행 로그'!C$81:C$1022=C81, '테스트 실행 로그'!H$81:H$1022))), 0)))=0, "이슈 없음", INDEX('테스트 실행 로그'!I$81:I$1022, MATCH(1, ('테스트 실행 로그'!C$81:C$1022=C81)*('테스트 실행 로그'!H$81:H$1022=MAX(IF('테스트 실행 로그'!C$81:C$1022=C81, '테스트 실행 로그'!H$81:H$1022))), 0))), "이슈 없음" )</f>
        <v>이슈 없음</v>
      </c>
    </row>
    <row r="82" spans="1:9" x14ac:dyDescent="0.3">
      <c r="A82" s="5"/>
      <c r="B82" s="5"/>
      <c r="C82" s="5"/>
      <c r="D82" s="5"/>
      <c r="E82" s="5"/>
      <c r="F82" s="5"/>
      <c r="G82" s="18" t="str" cm="1">
        <f t="array" ref="G82">IFERROR( IF(LEN(INDEX('테스트 실행 로그'!G$81:G$1022, MATCH(1, ('테스트 실행 로그'!C$81:C$1022=C82)*('테스트 실행 로그'!H$81:H$1022=MAX(IF(('테스트 실행 로그'!C$81:C$1022=C82)*('테스트 실행 로그'!H$81:H$1022&lt;&gt;""), '테스트 실행 로그'!H$81:H$1022))), 0)))=0, "결과 없음", INDEX('테스트 실행 로그'!G$81:G$1022, MATCH(1, ('테스트 실행 로그'!C$81:C$1022=C82)*('테스트 실행 로그'!H$81:H$1022=MAX(IF(('테스트 실행 로그'!C$81:C$1022=C82)*('테스트 실행 로그'!H$81:H$1022&lt;&gt;""), '테스트 실행 로그'!H$81:H$1022))), 0))), "결과 없음" )</f>
        <v>결과 없음</v>
      </c>
      <c r="H82" s="19" t="str" cm="1">
        <f t="array" ref="H82">IFERROR( IF(MAX(IF(('테스트 실행 로그'!C$81:C$1022=C82)*('테스트 실행 로그'!H$81:H$1022&lt;&gt;""), '테스트 실행 로그'!H$81:H$1022))=0, "날짜 없음", MAX(IF(('테스트 실행 로그'!C$81:C$1022=C82)*('테스트 실행 로그'!H$81:H$1022&lt;&gt;""), '테스트 실행 로그'!H$81:H$1022))), "날짜 없음" )</f>
        <v>날짜 없음</v>
      </c>
      <c r="I82" s="37" t="str" cm="1">
        <f t="array" ref="I82">IFERROR( IF(LEN(INDEX('테스트 실행 로그'!I$81:I$1022, MATCH(1, ('테스트 실행 로그'!C$81:C$1022=C82)*('테스트 실행 로그'!H$81:H$1022=MAX(IF('테스트 실행 로그'!C$81:C$1022=C82, '테스트 실행 로그'!H$81:H$1022))), 0)))=0, "이슈 없음", INDEX('테스트 실행 로그'!I$81:I$1022, MATCH(1, ('테스트 실행 로그'!C$81:C$1022=C82)*('테스트 실행 로그'!H$81:H$1022=MAX(IF('테스트 실행 로그'!C$81:C$1022=C82, '테스트 실행 로그'!H$81:H$1022))), 0))), "이슈 없음" )</f>
        <v>이슈 없음</v>
      </c>
    </row>
    <row r="83" spans="1:9" x14ac:dyDescent="0.3">
      <c r="A83" s="5"/>
      <c r="B83" s="5"/>
      <c r="C83" s="5"/>
      <c r="D83" s="5"/>
      <c r="E83" s="5"/>
      <c r="F83" s="5"/>
      <c r="G83" s="18" t="str" cm="1">
        <f t="array" ref="G83">IFERROR( IF(LEN(INDEX('테스트 실행 로그'!G$81:G$1022, MATCH(1, ('테스트 실행 로그'!C$81:C$1022=C83)*('테스트 실행 로그'!H$81:H$1022=MAX(IF(('테스트 실행 로그'!C$81:C$1022=C83)*('테스트 실행 로그'!H$81:H$1022&lt;&gt;""), '테스트 실행 로그'!H$81:H$1022))), 0)))=0, "결과 없음", INDEX('테스트 실행 로그'!G$81:G$1022, MATCH(1, ('테스트 실행 로그'!C$81:C$1022=C83)*('테스트 실행 로그'!H$81:H$1022=MAX(IF(('테스트 실행 로그'!C$81:C$1022=C83)*('테스트 실행 로그'!H$81:H$1022&lt;&gt;""), '테스트 실행 로그'!H$81:H$1022))), 0))), "결과 없음" )</f>
        <v>결과 없음</v>
      </c>
      <c r="H83" s="19" t="str" cm="1">
        <f t="array" ref="H83">IFERROR( IF(MAX(IF(('테스트 실행 로그'!C$81:C$1022=C83)*('테스트 실행 로그'!H$81:H$1022&lt;&gt;""), '테스트 실행 로그'!H$81:H$1022))=0, "날짜 없음", MAX(IF(('테스트 실행 로그'!C$81:C$1022=C83)*('테스트 실행 로그'!H$81:H$1022&lt;&gt;""), '테스트 실행 로그'!H$81:H$1022))), "날짜 없음" )</f>
        <v>날짜 없음</v>
      </c>
      <c r="I83" s="37" t="str" cm="1">
        <f t="array" ref="I83">IFERROR( IF(LEN(INDEX('테스트 실행 로그'!I$81:I$1022, MATCH(1, ('테스트 실행 로그'!C$81:C$1022=C83)*('테스트 실행 로그'!H$81:H$1022=MAX(IF('테스트 실행 로그'!C$81:C$1022=C83, '테스트 실행 로그'!H$81:H$1022))), 0)))=0, "이슈 없음", INDEX('테스트 실행 로그'!I$81:I$1022, MATCH(1, ('테스트 실행 로그'!C$81:C$1022=C83)*('테스트 실행 로그'!H$81:H$1022=MAX(IF('테스트 실행 로그'!C$81:C$1022=C83, '테스트 실행 로그'!H$81:H$1022))), 0))), "이슈 없음" )</f>
        <v>이슈 없음</v>
      </c>
    </row>
  </sheetData>
  <mergeCells count="16">
    <mergeCell ref="A2:I2"/>
    <mergeCell ref="B6:B15"/>
    <mergeCell ref="B16:B17"/>
    <mergeCell ref="B18:B19"/>
    <mergeCell ref="B49:B52"/>
    <mergeCell ref="B21:B24"/>
    <mergeCell ref="B29:B37"/>
    <mergeCell ref="B46:B47"/>
    <mergeCell ref="B62:B63"/>
    <mergeCell ref="B64:B65"/>
    <mergeCell ref="B66:B67"/>
    <mergeCell ref="A6:A67"/>
    <mergeCell ref="B44:B45"/>
    <mergeCell ref="B38:B43"/>
    <mergeCell ref="B25:B28"/>
    <mergeCell ref="B53:B6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B6A0-C208-4AD2-AB53-C2EB65EF0DC0}">
  <sheetPr>
    <tabColor rgb="FFFFC000"/>
  </sheetPr>
  <dimension ref="A2:I83"/>
  <sheetViews>
    <sheetView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2" sqref="A2:I2"/>
    </sheetView>
  </sheetViews>
  <sheetFormatPr defaultColWidth="18.25" defaultRowHeight="13.5" x14ac:dyDescent="0.3"/>
  <cols>
    <col min="1" max="1" width="13.625" style="13" bestFit="1" customWidth="1"/>
    <col min="2" max="2" width="21.25" style="13" bestFit="1" customWidth="1"/>
    <col min="3" max="3" width="12.25" style="14" bestFit="1" customWidth="1"/>
    <col min="4" max="4" width="60.25" style="13" bestFit="1" customWidth="1"/>
    <col min="5" max="5" width="52.625" style="13" customWidth="1"/>
    <col min="6" max="6" width="54.5" style="13" customWidth="1"/>
    <col min="7" max="7" width="18.25" style="14"/>
    <col min="8" max="8" width="18.25" style="30"/>
    <col min="9" max="16384" width="18.25" style="13"/>
  </cols>
  <sheetData>
    <row r="2" spans="1:9" ht="31.5" x14ac:dyDescent="0.3">
      <c r="A2" s="45" t="str">
        <f>"Dream 3.0 "&amp;CLEAN(A6)&amp;" 단위테스트 실행 로그"</f>
        <v>Dream 3.0 정기점검실행_AP591 단위테스트 실행 로그</v>
      </c>
      <c r="B2" s="45"/>
      <c r="C2" s="45"/>
      <c r="D2" s="45"/>
      <c r="E2" s="45"/>
      <c r="F2" s="45"/>
      <c r="G2" s="45"/>
      <c r="H2" s="45"/>
      <c r="I2" s="45"/>
    </row>
    <row r="4" spans="1:9" x14ac:dyDescent="0.3">
      <c r="A4" s="12" t="s">
        <v>58</v>
      </c>
    </row>
    <row r="5" spans="1:9" x14ac:dyDescent="0.3">
      <c r="A5" s="8" t="s">
        <v>9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25" t="s">
        <v>6</v>
      </c>
      <c r="H5" s="26" t="s">
        <v>7</v>
      </c>
      <c r="I5" s="25" t="s">
        <v>8</v>
      </c>
    </row>
    <row r="6" spans="1:9" ht="13.5" customHeight="1" x14ac:dyDescent="0.3">
      <c r="A6" s="46" t="s">
        <v>208</v>
      </c>
      <c r="B6" s="42" t="s">
        <v>242</v>
      </c>
      <c r="C6" s="3" t="s">
        <v>145</v>
      </c>
      <c r="D6" s="27" t="str">
        <f>IFERROR(VLOOKUP($C6, '테스트 케이스'!$C$6:$F$1002, 2, FALSE), "")</f>
        <v>검색 필드의 기본값 세팅을 확인한다.</v>
      </c>
      <c r="E6" s="27" t="str">
        <f>IFERROR(VLOOKUP($C6, '테스트 케이스'!$C$6:$F$1002, 3, FALSE), "")</f>
        <v>메뉴 페이지 접속시, 각 필드의 기본값 세팅 확인</v>
      </c>
      <c r="F6" s="27" t="str">
        <f>IFERROR(VLOOKUP($C6, '테스트 케이스'!$C$6:$F$1002, 4, FALSE), "")</f>
        <v>기본값이 설정되어있을 시, 메뉴 접속했을 때 해당 필드에 입력됨</v>
      </c>
      <c r="G6" s="9" t="s">
        <v>59</v>
      </c>
      <c r="H6" s="31">
        <v>45747</v>
      </c>
      <c r="I6" s="29"/>
    </row>
    <row r="7" spans="1:9" ht="94.5" x14ac:dyDescent="0.3">
      <c r="A7" s="47"/>
      <c r="B7" s="42"/>
      <c r="C7" s="3" t="s">
        <v>146</v>
      </c>
      <c r="D7" s="27" t="str">
        <f>IFERROR(VLOOKUP($C7, '테스트 케이스'!$C$6:$F$1002, 2, FALSE), "")</f>
        <v>검색 필드의 필수값 세팅을 확인한다.</v>
      </c>
      <c r="E7" s="27" t="str">
        <f>IFERROR(VLOOKUP($C7, '테스트 케이스'!$C$6:$F$1002, 3, FALSE), "")</f>
        <v>메뉴 페이지 접속시, 각 필드의 필수값 세팅 확인</v>
      </c>
      <c r="F7" s="27" t="str">
        <f>IFERROR(VLOOKUP($C7, '테스트 케이스'!$C$6:$F$1002, 4, FALSE), "")</f>
        <v>필수값 설정되어있을 시, 필드라벨과 필드란에 색깔로 표기됨</v>
      </c>
      <c r="G7" s="9" t="s">
        <v>233</v>
      </c>
      <c r="H7" s="31">
        <v>45747</v>
      </c>
      <c r="I7" s="11" t="s">
        <v>241</v>
      </c>
    </row>
    <row r="8" spans="1:9" ht="96.75" customHeight="1" x14ac:dyDescent="0.3">
      <c r="A8" s="47"/>
      <c r="B8" s="42"/>
      <c r="C8" s="3" t="s">
        <v>235</v>
      </c>
      <c r="D8" s="27" t="str">
        <f>IFERROR(VLOOKUP($C8, '테스트 케이스'!$C$6:$F$1002, 2, FALSE), "")</f>
        <v>검색 필드 Lov 팝업창의 데이터 세팅을 확인한다.</v>
      </c>
      <c r="E8" s="27" t="str">
        <f>IFERROR(VLOOKUP($C8, '테스트 케이스'!$C$6:$F$1002, 3, FALSE), "")</f>
        <v>각 필드의 Lov 버튼 클릭</v>
      </c>
      <c r="F8" s="27" t="str">
        <f>IFERROR(VLOOKUP($C8, '테스트 케이스'!$C$6:$F$1002, 4, FALSE), "")</f>
        <v>특정 필드에 해당되는 Lov 팝업창 데이터 확인</v>
      </c>
      <c r="G8" s="9" t="s">
        <v>233</v>
      </c>
      <c r="H8" s="31">
        <v>45747</v>
      </c>
      <c r="I8" s="11" t="s">
        <v>236</v>
      </c>
    </row>
    <row r="9" spans="1:9" ht="27" x14ac:dyDescent="0.3">
      <c r="A9" s="47"/>
      <c r="B9" s="42"/>
      <c r="C9" s="3" t="s">
        <v>148</v>
      </c>
      <c r="D9" s="27" t="str">
        <f>IFERROR(VLOOKUP($C9, '테스트 케이스'!$C$6:$F$1002, 2, FALSE), "")</f>
        <v>조건에 맞는 정기점검실행 데이터를 검색한다.</v>
      </c>
      <c r="E9" s="27" t="str">
        <f>IFERROR(VLOOKUP($C9, '테스트 케이스'!$C$6:$F$1002, 3, FALSE), "")</f>
        <v>각 검색필드에 데이터 입력 후 검색 버튼 클릭</v>
      </c>
      <c r="F9" s="27" t="str">
        <f>IFERROR(VLOOKUP($C9, '테스트 케이스'!$C$6:$F$1002, 4, FALSE), "")</f>
        <v>입력한 필드 값에 해당되는 데이터만 목록에 표시됨
(목록 우측하단 total : n/n 숫자와 조회된 데이터 개수(순번)와 일치)</v>
      </c>
      <c r="G9" s="9" t="s">
        <v>59</v>
      </c>
      <c r="H9" s="31">
        <v>45747</v>
      </c>
      <c r="I9" s="11"/>
    </row>
    <row r="10" spans="1:9" ht="27" x14ac:dyDescent="0.3">
      <c r="A10" s="47"/>
      <c r="B10" s="42"/>
      <c r="C10" s="3" t="s">
        <v>149</v>
      </c>
      <c r="D10" s="27" t="str">
        <f>IFERROR(VLOOKUP($C10, '테스트 케이스'!$C$6:$F$1002, 2, FALSE), "")</f>
        <v>정기점검실행 데이터를 전체 검색한다.</v>
      </c>
      <c r="E10" s="27" t="str">
        <f>IFERROR(VLOOKUP($C10, '테스트 케이스'!$C$6:$F$1002, 3, FALSE), "")</f>
        <v>각 검색필드에 입력된 데이터 전체 삭제 후 검색 버튼 클릭</v>
      </c>
      <c r="F10" s="27" t="str">
        <f>IFERROR(VLOOKUP($C10, '테스트 케이스'!$C$6:$F$1002, 4, FALSE), "")</f>
        <v>등록된 전체 데이터가 목록에 표시됨
(목록 우측하단 total : n/n 숫자와 조회된 데이터 개수(순번)와 일치)</v>
      </c>
      <c r="G10" s="9" t="s">
        <v>59</v>
      </c>
      <c r="H10" s="31">
        <v>45747</v>
      </c>
      <c r="I10" s="11"/>
    </row>
    <row r="11" spans="1:9" x14ac:dyDescent="0.3">
      <c r="A11" s="47"/>
      <c r="B11" s="42"/>
      <c r="C11" s="3" t="s">
        <v>150</v>
      </c>
      <c r="D11" s="27" t="str">
        <f>IFERROR(VLOOKUP($C11, '테스트 케이스'!$C$6:$F$1002, 2, FALSE), "")</f>
        <v>조회된 데이터의 목록을 정렬한다.</v>
      </c>
      <c r="E11" s="27" t="str">
        <f>IFERROR(VLOOKUP($C11, '테스트 케이스'!$C$6:$F$1002, 3, FALSE), "")</f>
        <v>목록의 그리드 헤더 클릭</v>
      </c>
      <c r="F11" s="27" t="str">
        <f>IFERROR(VLOOKUP($C11, '테스트 케이스'!$C$6:$F$1002, 4, FALSE), "")</f>
        <v>선택한 헤더의 필드값 기준으로 오름차순, 내림차순 정렬됨</v>
      </c>
      <c r="G11" s="9" t="s">
        <v>59</v>
      </c>
      <c r="H11" s="31">
        <v>45747</v>
      </c>
      <c r="I11" s="11"/>
    </row>
    <row r="12" spans="1:9" ht="88.5" customHeight="1" x14ac:dyDescent="0.3">
      <c r="A12" s="47"/>
      <c r="B12" s="42"/>
      <c r="C12" s="3" t="s">
        <v>237</v>
      </c>
      <c r="D12" s="27" t="str">
        <f>IFERROR(VLOOKUP($C12, '테스트 케이스'!$C$6:$F$1002, 2, FALSE), "")</f>
        <v>(행 클릭) 조회된 데이터의 상세정보를 조회한다.</v>
      </c>
      <c r="E12" s="27" t="str">
        <f>IFERROR(VLOOKUP($C12, '테스트 케이스'!$C$6:$F$1002, 3, FALSE), "")</f>
        <v>검색된 목록 데이터 행 클릭</v>
      </c>
      <c r="F12" s="27" t="str">
        <f>IFERROR(VLOOKUP($C12, '테스트 케이스'!$C$6:$F$1002, 4, FALSE), "")</f>
        <v>검색된 목록 하단에 펼쳐지는 상세페이지에서 해당 데이터의 각 항목에 입력된 값을 확인할 수 있음</v>
      </c>
      <c r="G12" s="9" t="s">
        <v>233</v>
      </c>
      <c r="H12" s="31">
        <v>45747</v>
      </c>
      <c r="I12" s="11" t="s">
        <v>238</v>
      </c>
    </row>
    <row r="13" spans="1:9" ht="27" x14ac:dyDescent="0.3">
      <c r="A13" s="47"/>
      <c r="B13" s="42"/>
      <c r="C13" s="3" t="s">
        <v>152</v>
      </c>
      <c r="D13" s="27" t="str">
        <f>IFERROR(VLOOKUP($C13, '테스트 케이스'!$C$6:$F$1002, 2, FALSE), "")</f>
        <v>(상세보기 버튼 클릭) 조회된 데이터의 상세정보를 조회한다.</v>
      </c>
      <c r="E13" s="27" t="str">
        <f>IFERROR(VLOOKUP($C13, '테스트 케이스'!$C$6:$F$1002, 3, FALSE), "")</f>
        <v>목록에서 특정 데이터 행 클릭 후 상세보기 버튼 클릭</v>
      </c>
      <c r="F13" s="27" t="str">
        <f>IFERROR(VLOOKUP($C13, '테스트 케이스'!$C$6:$F$1002, 4, FALSE), "")</f>
        <v>선택한 데이터의 상세페이지가 팝업창으로 열림 (목록 하단에 펼쳐지는 상세페이지와 내용 동일)</v>
      </c>
      <c r="G13" s="9" t="s">
        <v>59</v>
      </c>
      <c r="H13" s="31">
        <v>45747</v>
      </c>
      <c r="I13" s="11"/>
    </row>
    <row r="14" spans="1:9" ht="27" x14ac:dyDescent="0.3">
      <c r="A14" s="47"/>
      <c r="B14" s="42"/>
      <c r="C14" s="3" t="s">
        <v>153</v>
      </c>
      <c r="D14" s="27" t="str">
        <f>IFERROR(VLOOKUP($C14, '테스트 케이스'!$C$6:$F$1002, 2, FALSE), "")</f>
        <v>(목록) 검색된 데이터의 포맷 형태를 확인한다.</v>
      </c>
      <c r="E14" s="27" t="str">
        <f>IFERROR(VLOOKUP($C14, '테스트 케이스'!$C$6:$F$1002, 3, FALSE), "")</f>
        <v>검색 후 목록에 조회된 각 데이터 종류에 따른 포맷 형태를 확인한다.</v>
      </c>
      <c r="F14" s="27" t="str">
        <f>IFERROR(VLOOKUP($C14, '테스트 케이스'!$C$6:$F$1002, 4, FALSE), "")</f>
        <v>숫자는 천단위 반점표기, 날짜는 yyyy-mm-dd (숫자 : 오른쪽 정렬 , 텍스트 : 왼쪽 정렬 , 코드/날짜 : 가운데 정렬)</v>
      </c>
      <c r="G14" s="9" t="s">
        <v>59</v>
      </c>
      <c r="H14" s="31">
        <v>45747</v>
      </c>
      <c r="I14" s="11"/>
    </row>
    <row r="15" spans="1:9" ht="27" x14ac:dyDescent="0.3">
      <c r="A15" s="47"/>
      <c r="B15" s="42"/>
      <c r="C15" s="3" t="s">
        <v>154</v>
      </c>
      <c r="D15" s="27" t="str">
        <f>IFERROR(VLOOKUP($C15, '테스트 케이스'!$C$6:$F$1002, 2, FALSE), "")</f>
        <v>(상세) 검색된 데이터의 포맷 형태를 확인한다.</v>
      </c>
      <c r="E15" s="27" t="str">
        <f>IFERROR(VLOOKUP($C15, '테스트 케이스'!$C$6:$F$1002, 3, FALSE), "")</f>
        <v>검색 후 상세에 조회된 각 데이터 종류에 따른 포맷 형태를 확인한다.</v>
      </c>
      <c r="F15" s="27" t="str">
        <f>IFERROR(VLOOKUP($C15, '테스트 케이스'!$C$6:$F$1002, 4, FALSE), "")</f>
        <v>숫자는 천단위 반점표기, 날짜는 yyyy-mm-dd (숫자 : 오른쪽 정렬 , 텍스트 : 왼쪽 정렬 , 코드/날짜 : 가운데 정렬)</v>
      </c>
      <c r="G15" s="9" t="s">
        <v>59</v>
      </c>
      <c r="H15" s="31">
        <v>45747</v>
      </c>
      <c r="I15" s="11"/>
    </row>
    <row r="16" spans="1:9" x14ac:dyDescent="0.3">
      <c r="A16" s="47"/>
      <c r="B16" s="42" t="s">
        <v>243</v>
      </c>
      <c r="C16" s="3" t="s">
        <v>155</v>
      </c>
      <c r="D16" s="27" t="str">
        <f>IFERROR(VLOOKUP($C16, '테스트 케이스'!$C$6:$F$1002, 2, FALSE), "")</f>
        <v>상세페이지를 닫는다.</v>
      </c>
      <c r="E16" s="27" t="str">
        <f>IFERROR(VLOOKUP($C16, '테스트 케이스'!$C$6:$F$1002, 3, FALSE), "")</f>
        <v>하단에 펼쳐진 상세페이지 닫기버튼 (ⓧ) 클릭</v>
      </c>
      <c r="F16" s="27" t="str">
        <f>IFERROR(VLOOKUP($C16, '테스트 케이스'!$C$6:$F$1002, 4, FALSE), "")</f>
        <v>상세페이지 닫힘</v>
      </c>
      <c r="G16" s="9" t="s">
        <v>59</v>
      </c>
      <c r="H16" s="31">
        <v>45747</v>
      </c>
      <c r="I16" s="11"/>
    </row>
    <row r="17" spans="1:9" x14ac:dyDescent="0.3">
      <c r="A17" s="47"/>
      <c r="B17" s="42"/>
      <c r="C17" s="3" t="s">
        <v>156</v>
      </c>
      <c r="D17" s="27" t="str">
        <f>IFERROR(VLOOKUP($C17, '테스트 케이스'!$C$6:$F$1002, 2, FALSE), "")</f>
        <v>(팝업창) 상세페이지를 닫는다.</v>
      </c>
      <c r="E17" s="27" t="str">
        <f>IFERROR(VLOOKUP($C17, '테스트 케이스'!$C$6:$F$1002, 3, FALSE), "")</f>
        <v>창닫기 X 버튼 클릭</v>
      </c>
      <c r="F17" s="27" t="str">
        <f>IFERROR(VLOOKUP($C17, '테스트 케이스'!$C$6:$F$1002, 4, FALSE), "")</f>
        <v>상세페이지 닫힘</v>
      </c>
      <c r="G17" s="9" t="s">
        <v>59</v>
      </c>
      <c r="H17" s="31">
        <v>45747</v>
      </c>
      <c r="I17" s="11"/>
    </row>
    <row r="18" spans="1:9" ht="27" x14ac:dyDescent="0.3">
      <c r="A18" s="47"/>
      <c r="B18" s="44" t="s">
        <v>244</v>
      </c>
      <c r="C18" s="3" t="s">
        <v>239</v>
      </c>
      <c r="D18" s="27" t="str">
        <f>IFERROR(VLOOKUP($C18, '테스트 케이스'!$C$6:$F$1002, 2, FALSE), "")</f>
        <v>저장된 정기점검실행 데이터의 필수값과 그 외 값을 수정한다.</v>
      </c>
      <c r="E18" s="27" t="str">
        <f>IFERROR(VLOOKUP($C18, '테스트 케이스'!$C$6:$F$1002, 3, FALSE), "")</f>
        <v>상세화면(혹은 상세보기 팝업)에서 데이터 수정, 저장 클릭 후 저장 팝업창에서 OK 버튼 클릭</v>
      </c>
      <c r="F18" s="27" t="str">
        <f>IFERROR(VLOOKUP($C18, '테스트 케이스'!$C$6:$F$1002, 4, FALSE), "")</f>
        <v>변경사항이 저장됨 (상세보기 팝업창에서 수정 후 목록에 반영되려면 재검색 혹은 새로고침해야함)</v>
      </c>
      <c r="G18" s="9" t="s">
        <v>59</v>
      </c>
      <c r="H18" s="31">
        <v>45747</v>
      </c>
      <c r="I18" s="11"/>
    </row>
    <row r="19" spans="1:9" ht="27" x14ac:dyDescent="0.3">
      <c r="A19" s="47"/>
      <c r="B19" s="44"/>
      <c r="C19" s="3" t="s">
        <v>158</v>
      </c>
      <c r="D19" s="27" t="str">
        <f>IFERROR(VLOOKUP($C19, '테스트 케이스'!$C$6:$F$1002, 2, FALSE), "")</f>
        <v>저장된 정기점검실행 데이터의 필수값을 제외 한 후 그 외 값을 수정한다.</v>
      </c>
      <c r="E19" s="27" t="str">
        <f>IFERROR(VLOOKUP($C19, '테스트 케이스'!$C$6:$F$1002, 3, FALSE), "")</f>
        <v>상세화면(혹은 상세보기 팝업)에서 필수값 삭제 후 데이터 수정, 저장 클릭 후 저장 팝업창에서 OK 버튼 클릭</v>
      </c>
      <c r="F19" s="27" t="str">
        <f>IFERROR(VLOOKUP($C19, '테스트 케이스'!$C$6:$F$1002, 4, FALSE), "")</f>
        <v>필수값 누락에 대한 팝업 표시. 수정 불가 확인</v>
      </c>
      <c r="G19" s="9" t="s">
        <v>59</v>
      </c>
      <c r="H19" s="31">
        <v>45747</v>
      </c>
      <c r="I19" s="11"/>
    </row>
    <row r="20" spans="1:9" ht="54" x14ac:dyDescent="0.3">
      <c r="A20" s="47"/>
      <c r="B20" s="3" t="s">
        <v>245</v>
      </c>
      <c r="C20" s="3" t="s">
        <v>159</v>
      </c>
      <c r="D20" s="27" t="str">
        <f>IFERROR(VLOOKUP($C20, '테스트 케이스'!$C$6:$F$1002, 2, FALSE), "")</f>
        <v>목록에 조회된 데이터를 Excel 다운로드한다.</v>
      </c>
      <c r="E20" s="27" t="str">
        <f>IFERROR(VLOOKUP($C20, '테스트 케이스'!$C$6:$F$1002, 3, FALSE), "")</f>
        <v>1. 검색필드에 필요한 데이터 입력 후 검색
2. Excel 버튼 클릭</v>
      </c>
      <c r="F20" s="27" t="str">
        <f>IFERROR(VLOOKUP($C20, '테스트 케이스'!$C$6:$F$1002, 4, FALSE), "")</f>
        <v>1. 검색 조건에 맞는 데이터가 조회됨
2. 검색된 데이터가 입력된 Excel 파일이 다운로드됨
(검색결과가 없는 상태에서 클릭시, 목록 헤더만 입력된 Excel 파일이 다운로드 됨)</v>
      </c>
      <c r="G20" s="9" t="s">
        <v>59</v>
      </c>
      <c r="H20" s="31">
        <v>45747</v>
      </c>
      <c r="I20" s="11"/>
    </row>
    <row r="21" spans="1:9" ht="27" x14ac:dyDescent="0.3">
      <c r="A21" s="47"/>
      <c r="B21" s="42" t="s">
        <v>246</v>
      </c>
      <c r="C21" s="3" t="s">
        <v>160</v>
      </c>
      <c r="D21" s="27" t="str">
        <f>IFERROR(VLOOKUP($C21, '테스트 케이스'!$C$6:$F$1002, 2, FALSE), "")</f>
        <v>검색 입력필드 순서를 변경한다.</v>
      </c>
      <c r="E21" s="27" t="str">
        <f>IFERROR(VLOOKUP($C21, '테스트 케이스'!$C$6:$F$1002, 3, FALSE), "")</f>
        <v>Setting 버튼 클릭, Setting 팝업창에서 특정 필드 항목의 정렬값 숫자를 변경 후 저장</v>
      </c>
      <c r="F21" s="27" t="str">
        <f>IFERROR(VLOOKUP($C21, '테스트 케이스'!$C$6:$F$1002, 4, FALSE), "")</f>
        <v>해당 필드가 정렬값대로 나열됨 (작은 숫자일수록 앞에 나열됨)</v>
      </c>
      <c r="G21" s="9" t="s">
        <v>59</v>
      </c>
      <c r="H21" s="31">
        <v>45807</v>
      </c>
      <c r="I21" s="11"/>
    </row>
    <row r="22" spans="1:9" ht="27" x14ac:dyDescent="0.3">
      <c r="A22" s="47"/>
      <c r="B22" s="42"/>
      <c r="C22" s="3" t="s">
        <v>161</v>
      </c>
      <c r="D22" s="27" t="str">
        <f>IFERROR(VLOOKUP($C22, '테스트 케이스'!$C$6:$F$1002, 2, FALSE), "")</f>
        <v>검색 입력필드를 보이지 않게 숨긴다.</v>
      </c>
      <c r="E22" s="27" t="str">
        <f>IFERROR(VLOOKUP($C22, '테스트 케이스'!$C$6:$F$1002, 3, FALSE), "")</f>
        <v>Setting 버튼 클릭, Setting 팝업창에서 특정 필드 숨김 설정 (화면 Display여부 N) 후 저장</v>
      </c>
      <c r="F22" s="27" t="str">
        <f>IFERROR(VLOOKUP($C22, '테스트 케이스'!$C$6:$F$1002, 4, FALSE), "")</f>
        <v>해당 필드가 검색에서 숨겨짐</v>
      </c>
      <c r="G22" s="9" t="s">
        <v>59</v>
      </c>
      <c r="H22" s="31">
        <v>45807</v>
      </c>
      <c r="I22" s="11"/>
    </row>
    <row r="23" spans="1:9" ht="27" x14ac:dyDescent="0.3">
      <c r="A23" s="47"/>
      <c r="B23" s="42"/>
      <c r="C23" s="3" t="s">
        <v>162</v>
      </c>
      <c r="D23" s="27" t="str">
        <f>IFERROR(VLOOKUP($C23, '테스트 케이스'!$C$6:$F$1002, 2, FALSE), "")</f>
        <v>검색 입력필드를 보이도록 한다.</v>
      </c>
      <c r="E23" s="27" t="str">
        <f>IFERROR(VLOOKUP($C23, '테스트 케이스'!$C$6:$F$1002, 3, FALSE), "")</f>
        <v>Setting 버튼 클릭, Setting 팝업창에서 특정 필드 숨김 설정 (화면 Display여부 Y) 후 저장</v>
      </c>
      <c r="F23" s="27" t="str">
        <f>IFERROR(VLOOKUP($C23, '테스트 케이스'!$C$6:$F$1002, 4, FALSE), "")</f>
        <v>해당 필드가 검색에서 보임</v>
      </c>
      <c r="G23" s="9" t="s">
        <v>59</v>
      </c>
      <c r="H23" s="31">
        <v>45807</v>
      </c>
      <c r="I23" s="11"/>
    </row>
    <row r="24" spans="1:9" ht="27" x14ac:dyDescent="0.3">
      <c r="A24" s="47"/>
      <c r="B24" s="42"/>
      <c r="C24" s="3" t="s">
        <v>163</v>
      </c>
      <c r="D24" s="27" t="str">
        <f>IFERROR(VLOOKUP($C24, '테스트 케이스'!$C$6:$F$1002, 2, FALSE), "")</f>
        <v>검색 입력필드명을 변경한다.</v>
      </c>
      <c r="E24" s="27" t="str">
        <f>IFERROR(VLOOKUP($C24, '테스트 케이스'!$C$6:$F$1002, 3, FALSE), "")</f>
        <v>Setting 버튼 클릭, Setting 팝업창에서 특정 필드 항목의 화면표시명 필드 값 변경 후 저장</v>
      </c>
      <c r="F24" s="27" t="str">
        <f>IFERROR(VLOOKUP($C24, '테스트 케이스'!$C$6:$F$1002, 4, FALSE), "")</f>
        <v>해당 필드의 필드명이 변경됨 (새로고침 후 반영 확인)</v>
      </c>
      <c r="G24" s="9" t="s">
        <v>59</v>
      </c>
      <c r="H24" s="31">
        <v>45807</v>
      </c>
      <c r="I24" s="11"/>
    </row>
    <row r="25" spans="1:9" ht="27" x14ac:dyDescent="0.3">
      <c r="A25" s="47"/>
      <c r="B25" s="42" t="s">
        <v>10</v>
      </c>
      <c r="C25" s="3" t="s">
        <v>164</v>
      </c>
      <c r="D25" s="27" t="str">
        <f>IFERROR(VLOOKUP($C25, '테스트 케이스'!$C$6:$F$1002, 2, FALSE), "")</f>
        <v>상세 입력필드 순서를 변경한다.</v>
      </c>
      <c r="E25" s="27" t="str">
        <f>IFERROR(VLOOKUP($C25, '테스트 케이스'!$C$6:$F$1002, 3, FALSE), "")</f>
        <v>Setting 버튼 클릭, Setting 팝업창에서 특정 필드 항목의 정렬값 숫자를 변경 후 저장</v>
      </c>
      <c r="F25" s="27" t="str">
        <f>IFERROR(VLOOKUP($C25, '테스트 케이스'!$C$6:$F$1002, 4, FALSE), "")</f>
        <v>해당 필드가 정렬값대로 나열됨 (작은 숫자일수록 앞에 나열됨, 새로고침 후 반영 확인)</v>
      </c>
      <c r="G25" s="9" t="s">
        <v>59</v>
      </c>
      <c r="H25" s="31">
        <v>45807</v>
      </c>
      <c r="I25" s="11"/>
    </row>
    <row r="26" spans="1:9" ht="27" x14ac:dyDescent="0.3">
      <c r="A26" s="47"/>
      <c r="B26" s="42"/>
      <c r="C26" s="3" t="s">
        <v>165</v>
      </c>
      <c r="D26" s="27" t="str">
        <f>IFERROR(VLOOKUP($C26, '테스트 케이스'!$C$6:$F$1002, 2, FALSE), "")</f>
        <v>상세 입력필드를 보이지 않게 숨긴다.</v>
      </c>
      <c r="E26" s="27" t="str">
        <f>IFERROR(VLOOKUP($C26, '테스트 케이스'!$C$6:$F$1002, 3, FALSE), "")</f>
        <v>Setting 버튼 클릭, Setting 팝업창에서 특정 필드 숨김 설정 (화면 Display여부 N) 후 저장</v>
      </c>
      <c r="F26" s="27" t="str">
        <f>IFERROR(VLOOKUP($C26, '테스트 케이스'!$C$6:$F$1002, 4, FALSE), "")</f>
        <v>해당 필드가 상세에서 숨겨짐</v>
      </c>
      <c r="G26" s="9" t="s">
        <v>59</v>
      </c>
      <c r="H26" s="31">
        <v>45807</v>
      </c>
      <c r="I26" s="11"/>
    </row>
    <row r="27" spans="1:9" ht="27" x14ac:dyDescent="0.3">
      <c r="A27" s="47"/>
      <c r="B27" s="42"/>
      <c r="C27" s="3" t="s">
        <v>166</v>
      </c>
      <c r="D27" s="27" t="str">
        <f>IFERROR(VLOOKUP($C27, '테스트 케이스'!$C$6:$F$1002, 2, FALSE), "")</f>
        <v>상세 입력필드를 보이도록 한다.</v>
      </c>
      <c r="E27" s="27" t="str">
        <f>IFERROR(VLOOKUP($C27, '테스트 케이스'!$C$6:$F$1002, 3, FALSE), "")</f>
        <v>Setting 버튼 클릭, Setting 팝업창에서 특정 필드 숨김 설정 (화면 Display여부 Y) 후 저장</v>
      </c>
      <c r="F27" s="27" t="str">
        <f>IFERROR(VLOOKUP($C27, '테스트 케이스'!$C$6:$F$1002, 4, FALSE), "")</f>
        <v>해당 필드가 상세에서 보임</v>
      </c>
      <c r="G27" s="9" t="s">
        <v>59</v>
      </c>
      <c r="H27" s="31">
        <v>45807</v>
      </c>
      <c r="I27" s="11"/>
    </row>
    <row r="28" spans="1:9" ht="27" x14ac:dyDescent="0.3">
      <c r="A28" s="47"/>
      <c r="B28" s="42"/>
      <c r="C28" s="3" t="s">
        <v>167</v>
      </c>
      <c r="D28" s="27" t="str">
        <f>IFERROR(VLOOKUP($C28, '테스트 케이스'!$C$6:$F$1002, 2, FALSE), "")</f>
        <v>상세 입력필드명을 변경한다.</v>
      </c>
      <c r="E28" s="27" t="str">
        <f>IFERROR(VLOOKUP($C28, '테스트 케이스'!$C$6:$F$1002, 3, FALSE), "")</f>
        <v>Setting 버튼 클릭, Setting 팝업창에서 특정 필드 항목의 화면표시명 필드 값 변경 후 저장</v>
      </c>
      <c r="F28" s="27" t="str">
        <f>IFERROR(VLOOKUP($C28, '테스트 케이스'!$C$6:$F$1002, 4, FALSE), "")</f>
        <v>해당 필드의 필드명이 변경됨 (새로고침 후 반영 확인)</v>
      </c>
      <c r="G28" s="9" t="s">
        <v>59</v>
      </c>
      <c r="H28" s="31">
        <v>45807</v>
      </c>
      <c r="I28" s="11"/>
    </row>
    <row r="29" spans="1:9" ht="27" x14ac:dyDescent="0.3">
      <c r="A29" s="47"/>
      <c r="B29" s="39" t="s">
        <v>247</v>
      </c>
      <c r="C29" s="3" t="s">
        <v>168</v>
      </c>
      <c r="D29" s="27" t="str">
        <f>IFERROR(VLOOKUP($C29, '테스트 케이스'!$C$6:$F$1002, 2, FALSE), "")</f>
        <v>목록 칼럼을 보이지 않게 숨긴다.</v>
      </c>
      <c r="E29" s="27" t="str">
        <f>IFERROR(VLOOKUP($C29, '테스트 케이스'!$C$6:$F$1002, 3, FALSE), "")</f>
        <v>Setting 버튼 클릭, Setting 팝업창에서 특정 칼럼 숨김 설정 (화면 Display여부 N) 후 저장</v>
      </c>
      <c r="F29" s="27" t="str">
        <f>IFERROR(VLOOKUP($C29, '테스트 케이스'!$C$6:$F$1002, 4, FALSE), "")</f>
        <v>해당 칼럼이 목록에서 숨겨짐 (새로고침 후 반영 확인)</v>
      </c>
      <c r="G29" s="9" t="s">
        <v>59</v>
      </c>
      <c r="H29" s="31">
        <v>45807</v>
      </c>
      <c r="I29" s="11"/>
    </row>
    <row r="30" spans="1:9" ht="27" x14ac:dyDescent="0.3">
      <c r="A30" s="47"/>
      <c r="B30" s="41"/>
      <c r="C30" s="3" t="s">
        <v>169</v>
      </c>
      <c r="D30" s="27" t="str">
        <f>IFERROR(VLOOKUP($C30, '테스트 케이스'!$C$6:$F$1002, 2, FALSE), "")</f>
        <v>목록 칼럼을 보이도록 한다.</v>
      </c>
      <c r="E30" s="27" t="str">
        <f>IFERROR(VLOOKUP($C30, '테스트 케이스'!$C$6:$F$1002, 3, FALSE), "")</f>
        <v>Setting 버튼 클릭, Setting 팝업창에서 특정 칼럼 숨김 설정 (화면 Display여부 Y) 후 저장</v>
      </c>
      <c r="F30" s="27" t="str">
        <f>IFERROR(VLOOKUP($C30, '테스트 케이스'!$C$6:$F$1002, 4, FALSE), "")</f>
        <v>해당 칼럼이 목록에서 보임 (새로고침 후 반영 확인)</v>
      </c>
      <c r="G30" s="9" t="s">
        <v>59</v>
      </c>
      <c r="H30" s="31">
        <v>45807</v>
      </c>
      <c r="I30" s="11"/>
    </row>
    <row r="31" spans="1:9" ht="27" x14ac:dyDescent="0.3">
      <c r="A31" s="47"/>
      <c r="B31" s="41"/>
      <c r="C31" s="3" t="s">
        <v>170</v>
      </c>
      <c r="D31" s="27" t="str">
        <f>IFERROR(VLOOKUP($C31, '테스트 케이스'!$C$6:$F$1002, 2, FALSE), "")</f>
        <v>목록 칼럼 순서를 변경한다.</v>
      </c>
      <c r="E31" s="27" t="str">
        <f>IFERROR(VLOOKUP($C31, '테스트 케이스'!$C$6:$F$1002, 3, FALSE), "")</f>
        <v>Setting 버튼 클릭, Setting 팝업창에서 특정 칼럼 항목의 정렬값 숫자를 변경 후 저장</v>
      </c>
      <c r="F31" s="27" t="str">
        <f>IFERROR(VLOOKUP($C31, '테스트 케이스'!$C$6:$F$1002, 4, FALSE), "")</f>
        <v>해당 칼럼이 정렬값대로 나열됨 (작은 숫자일수록 앞에 나열됨, 새로고침 후 반영 확인)</v>
      </c>
      <c r="G31" s="9" t="s">
        <v>59</v>
      </c>
      <c r="H31" s="31">
        <v>45807</v>
      </c>
      <c r="I31" s="11"/>
    </row>
    <row r="32" spans="1:9" ht="27" x14ac:dyDescent="0.3">
      <c r="A32" s="47"/>
      <c r="B32" s="41"/>
      <c r="C32" s="3" t="s">
        <v>171</v>
      </c>
      <c r="D32" s="27" t="str">
        <f>IFERROR(VLOOKUP($C32, '테스트 케이스'!$C$6:$F$1002, 2, FALSE), "")</f>
        <v>목록 칼럼 너비를 변경한다.</v>
      </c>
      <c r="E32" s="27" t="str">
        <f>IFERROR(VLOOKUP($C32, '테스트 케이스'!$C$6:$F$1002, 3, FALSE), "")</f>
        <v>Setting 버튼 클릭, Setting 팝업창에서 특정 칼럼 항목의 칼럼너비(숫자)를 입력 후 저장</v>
      </c>
      <c r="F32" s="27" t="str">
        <f>IFERROR(VLOOKUP($C32, '테스트 케이스'!$C$6:$F$1002, 4, FALSE), "")</f>
        <v>해당 칼럼의 너비가 변경됨 (새로고침 후 반영 확인)</v>
      </c>
      <c r="G32" s="9" t="s">
        <v>59</v>
      </c>
      <c r="H32" s="31">
        <v>45807</v>
      </c>
      <c r="I32" s="11"/>
    </row>
    <row r="33" spans="1:9" ht="27" x14ac:dyDescent="0.3">
      <c r="A33" s="47"/>
      <c r="B33" s="41"/>
      <c r="C33" s="3" t="s">
        <v>172</v>
      </c>
      <c r="D33" s="27" t="str">
        <f>IFERROR(VLOOKUP($C33, '테스트 케이스'!$C$6:$F$1002, 2, FALSE), "")</f>
        <v>목록 칼럼 정렬을 변경한다.</v>
      </c>
      <c r="E33" s="27" t="str">
        <f>IFERROR(VLOOKUP($C33, '테스트 케이스'!$C$6:$F$1002, 3, FALSE), "")</f>
        <v>Setting 버튼 클릭, Setting 팝업창에서 특정 칼럼 항목의 정렬 설정 (Left, Center, Right) 후 저장</v>
      </c>
      <c r="F33" s="27" t="str">
        <f>IFERROR(VLOOKUP($C33, '테스트 케이스'!$C$6:$F$1002, 4, FALSE), "")</f>
        <v>해당 칼럼의 텍스트 정렬 위치가 변경됨 (새로고침 후 반영 확인)</v>
      </c>
      <c r="G33" s="9" t="s">
        <v>59</v>
      </c>
      <c r="H33" s="31">
        <v>45807</v>
      </c>
      <c r="I33" s="11"/>
    </row>
    <row r="34" spans="1:9" ht="27" x14ac:dyDescent="0.3">
      <c r="A34" s="47"/>
      <c r="B34" s="41"/>
      <c r="C34" s="3" t="s">
        <v>173</v>
      </c>
      <c r="D34" s="27" t="str">
        <f>IFERROR(VLOOKUP($C34, '테스트 케이스'!$C$6:$F$1002, 2, FALSE), "")</f>
        <v>목록 칼럼의 데이터 조회순서를 변경한다.</v>
      </c>
      <c r="E34" s="27" t="str">
        <f>IFERROR(VLOOKUP($C34, '테스트 케이스'!$C$6:$F$1002, 3, FALSE), "")</f>
        <v>Setting 버튼 클릭, Setting 팝업창에서 특정 칼럼 항목의 조회순서 설정 (ASC, DESC) 후 저장</v>
      </c>
      <c r="F34" s="27" t="str">
        <f>IFERROR(VLOOKUP($C34, '테스트 케이스'!$C$6:$F$1002, 4, FALSE), "")</f>
        <v>해당 칼럼의 데이터 조회 순서 변경 (새로고침 후 반영 확인, ASC : 오름차순, DESC : 내림차순)</v>
      </c>
      <c r="G34" s="9" t="s">
        <v>59</v>
      </c>
      <c r="H34" s="31">
        <v>45807</v>
      </c>
      <c r="I34" s="11"/>
    </row>
    <row r="35" spans="1:9" ht="27" x14ac:dyDescent="0.3">
      <c r="A35" s="47"/>
      <c r="B35" s="41"/>
      <c r="C35" s="3" t="s">
        <v>174</v>
      </c>
      <c r="D35" s="27" t="str">
        <f>IFERROR(VLOOKUP($C35, '테스트 케이스'!$C$6:$F$1002, 2, FALSE), "")</f>
        <v>목록 칼럼의 배경 색상을 변경한다.</v>
      </c>
      <c r="E35" s="27" t="str">
        <f>IFERROR(VLOOKUP($C35, '테스트 케이스'!$C$6:$F$1002, 3, FALSE), "")</f>
        <v>Setting 버튼 클릭, Setting 팝업창에서 특정 칼럼 항목의 Background Color 선택 (&gt;,&gt;=,&lt;,&lt;=,!=,Not in,In / Blue, Red) 후 저장</v>
      </c>
      <c r="F35" s="27" t="str">
        <f>IFERROR(VLOOKUP($C35, '테스트 케이스'!$C$6:$F$1002, 4, FALSE), "")</f>
        <v>해당 칼럼의 배경 색상 변경 (새로고침 후 반영 확인, 특정값을 기준으로 크거나 작을 때 배경 색깔이 바뀌도록 설정 가능함)</v>
      </c>
      <c r="G35" s="9" t="s">
        <v>59</v>
      </c>
      <c r="H35" s="31">
        <v>45807</v>
      </c>
      <c r="I35" s="11"/>
    </row>
    <row r="36" spans="1:9" ht="27" x14ac:dyDescent="0.3">
      <c r="A36" s="47"/>
      <c r="B36" s="41"/>
      <c r="C36" s="3" t="s">
        <v>175</v>
      </c>
      <c r="D36" s="27" t="str">
        <f>IFERROR(VLOOKUP($C36, '테스트 케이스'!$C$6:$F$1002, 2, FALSE), "")</f>
        <v>목록 칼럼의 리스트 길이를 변경한다. (-/+ 버튼)</v>
      </c>
      <c r="E36" s="27" t="str">
        <f>IFERROR(VLOOKUP($C36, '테스트 케이스'!$C$6:$F$1002, 3, FALSE), "")</f>
        <v>Setting 버튼 클릭, Setting 팝업창에서 특정 칼럼 항목의 리스트 길이 (-,+) 설정 후 저장</v>
      </c>
      <c r="F36" s="27" t="str">
        <f>IFERROR(VLOOKUP($C36, '테스트 케이스'!$C$6:$F$1002, 4, FALSE), "")</f>
        <v>해당 칼럼의 목록 리스트 길이가 증가 또는 감소됨 (새로고침 후 반영 확인, - : 숫자 감소, + : 숫자 증가)</v>
      </c>
      <c r="G36" s="9" t="s">
        <v>59</v>
      </c>
      <c r="H36" s="31">
        <v>45807</v>
      </c>
      <c r="I36" s="11"/>
    </row>
    <row r="37" spans="1:9" ht="27" x14ac:dyDescent="0.3">
      <c r="A37" s="47"/>
      <c r="B37" s="40"/>
      <c r="C37" s="3" t="s">
        <v>176</v>
      </c>
      <c r="D37" s="27" t="str">
        <f>IFERROR(VLOOKUP($C37, '테스트 케이스'!$C$6:$F$1002, 2, FALSE), "")</f>
        <v>목록 칼럼의 리스트 길이를 변경한다. (숫자 입력)</v>
      </c>
      <c r="E37" s="27" t="str">
        <f>IFERROR(VLOOKUP($C37, '테스트 케이스'!$C$6:$F$1002, 3, FALSE), "")</f>
        <v>Setting 버튼 클릭, Setting 팝업창에서 리스트 길이 숫자 입력 후 저장</v>
      </c>
      <c r="F37" s="27" t="str">
        <f>IFERROR(VLOOKUP($C37, '테스트 케이스'!$C$6:$F$1002, 4, FALSE), "")</f>
        <v>해당 칼럼의 리스트 길이가 입력한 숫자만큼 변경됨 (새로고침 후 반영 확인)</v>
      </c>
      <c r="G37" s="9" t="s">
        <v>59</v>
      </c>
      <c r="H37" s="31">
        <v>45807</v>
      </c>
      <c r="I37" s="11"/>
    </row>
    <row r="38" spans="1:9" ht="27" x14ac:dyDescent="0.3">
      <c r="A38" s="47"/>
      <c r="B38" s="39" t="s">
        <v>135</v>
      </c>
      <c r="C38" s="3" t="s">
        <v>177</v>
      </c>
      <c r="D38" s="27" t="str">
        <f>IFERROR(VLOOKUP($C38, '테스트 케이스'!$C$6:$F$1002, 2, FALSE), "")</f>
        <v>탭목록 데이터 개수 확인한다.</v>
      </c>
      <c r="E38" s="27" t="str">
        <f>IFERROR(VLOOKUP($C38, '테스트 케이스'!$C$6:$F$1002, 3, FALSE), "")</f>
        <v>탭목록 클릭</v>
      </c>
      <c r="F38" s="27" t="str">
        <f>IFERROR(VLOOKUP($C38, '테스트 케이스'!$C$6:$F$1002, 4, FALSE), "")</f>
        <v>탭목록 데이터 개수가 조회됨(탭목록 우측하단 total : n/n 숫자와 조회된 데이터 개수(순번)와 일치하는지 확인)</v>
      </c>
      <c r="G38" s="9" t="s">
        <v>59</v>
      </c>
      <c r="H38" s="31">
        <v>45747</v>
      </c>
      <c r="I38" s="11"/>
    </row>
    <row r="39" spans="1:9" x14ac:dyDescent="0.3">
      <c r="A39" s="47"/>
      <c r="B39" s="41"/>
      <c r="C39" s="3" t="s">
        <v>178</v>
      </c>
      <c r="D39" s="27" t="str">
        <f>IFERROR(VLOOKUP($C39, '테스트 케이스'!$C$6:$F$1002, 2, FALSE), "")</f>
        <v>탭목록을 정렬한다.</v>
      </c>
      <c r="E39" s="27" t="str">
        <f>IFERROR(VLOOKUP($C39, '테스트 케이스'!$C$6:$F$1002, 3, FALSE), "")</f>
        <v>탭목록의 그리드 헤더 클릭</v>
      </c>
      <c r="F39" s="27" t="str">
        <f>IFERROR(VLOOKUP($C39, '테스트 케이스'!$C$6:$F$1002, 4, FALSE), "")</f>
        <v>선택한 헤더의 필드값 기준으로 오름차순, 내림차순 정렬됨</v>
      </c>
      <c r="G39" s="9" t="s">
        <v>59</v>
      </c>
      <c r="H39" s="31">
        <v>45747</v>
      </c>
      <c r="I39" s="11"/>
    </row>
    <row r="40" spans="1:9" ht="27" x14ac:dyDescent="0.3">
      <c r="A40" s="47"/>
      <c r="B40" s="41"/>
      <c r="C40" s="3" t="s">
        <v>179</v>
      </c>
      <c r="D40" s="27" t="str">
        <f>IFERROR(VLOOKUP($C40, '테스트 케이스'!$C$6:$F$1002, 2, FALSE), "")</f>
        <v>(행 클릭) 조회된 데이터의 상세정보를 조회한다.</v>
      </c>
      <c r="E40" s="27" t="str">
        <f>IFERROR(VLOOKUP($C40, '테스트 케이스'!$C$6:$F$1002, 3, FALSE), "")</f>
        <v>탭목록 데이터 행 클릭</v>
      </c>
      <c r="F40" s="27" t="str">
        <f>IFERROR(VLOOKUP($C40, '테스트 케이스'!$C$6:$F$1002, 4, FALSE), "")</f>
        <v>탭목록 하단에 펼쳐지는 상세페이지에서 해당 데이터의 각 항목에 입력된 값을 확인할 수 있음</v>
      </c>
      <c r="G40" s="9" t="s">
        <v>59</v>
      </c>
      <c r="H40" s="31">
        <v>45747</v>
      </c>
      <c r="I40" s="11"/>
    </row>
    <row r="41" spans="1:9" ht="27" x14ac:dyDescent="0.3">
      <c r="A41" s="47"/>
      <c r="B41" s="41"/>
      <c r="C41" s="3" t="s">
        <v>180</v>
      </c>
      <c r="D41" s="27" t="str">
        <f>IFERROR(VLOOKUP($C41, '테스트 케이스'!$C$6:$F$1002, 2, FALSE), "")</f>
        <v>(상세보기 버튼 클릭) 조회된 데이터의 상세정보를 조회한다.</v>
      </c>
      <c r="E41" s="27" t="str">
        <f>IFERROR(VLOOKUP($C41, '테스트 케이스'!$C$6:$F$1002, 3, FALSE), "")</f>
        <v>탭목록에서 특정 데이터 행 클릭 후 상세보기 버튼 클릭</v>
      </c>
      <c r="F41" s="27" t="str">
        <f>IFERROR(VLOOKUP($C41, '테스트 케이스'!$C$6:$F$1002, 4, FALSE), "")</f>
        <v>선택한 탭데이터의 상세페이지가 팝업창으로 열림 (탭목록 하단에 펼쳐지는 상세페이지와 내용 동일)</v>
      </c>
      <c r="G41" s="9" t="s">
        <v>59</v>
      </c>
      <c r="H41" s="31">
        <v>45747</v>
      </c>
      <c r="I41" s="11"/>
    </row>
    <row r="42" spans="1:9" ht="27" x14ac:dyDescent="0.3">
      <c r="A42" s="47"/>
      <c r="B42" s="41"/>
      <c r="C42" s="3" t="s">
        <v>181</v>
      </c>
      <c r="D42" s="27" t="str">
        <f>IFERROR(VLOOKUP($C42, '테스트 케이스'!$C$6:$F$1002, 2, FALSE), "")</f>
        <v>탭목록 데이터의 포맷 형태를 확인한다.</v>
      </c>
      <c r="E42" s="27" t="str">
        <f>IFERROR(VLOOKUP($C42, '테스트 케이스'!$C$6:$F$1002, 3, FALSE), "")</f>
        <v>탭목록에 조회된 각 데이터 종류에 따른 포맷 형태를 확인한다.</v>
      </c>
      <c r="F42" s="27" t="str">
        <f>IFERROR(VLOOKUP($C42, '테스트 케이스'!$C$6:$F$1002, 4, FALSE), "")</f>
        <v>숫자는 천단위 반점표기, 날짜는 yyyy-mm-dd (숫자 : 오른쪽 정렬 , 텍스트 : 왼쪽 정렬 , 코드/날짜 : 가운데 정렬)</v>
      </c>
      <c r="G42" s="9" t="s">
        <v>59</v>
      </c>
      <c r="H42" s="31">
        <v>45747</v>
      </c>
      <c r="I42" s="11"/>
    </row>
    <row r="43" spans="1:9" ht="27" x14ac:dyDescent="0.3">
      <c r="A43" s="47"/>
      <c r="B43" s="40"/>
      <c r="C43" s="3" t="s">
        <v>182</v>
      </c>
      <c r="D43" s="27" t="str">
        <f>IFERROR(VLOOKUP($C43, '테스트 케이스'!$C$6:$F$1002, 2, FALSE), "")</f>
        <v>탭상세 데이터의 포맷 형태를 확인한다.</v>
      </c>
      <c r="E43" s="27" t="str">
        <f>IFERROR(VLOOKUP($C43, '테스트 케이스'!$C$6:$F$1002, 3, FALSE), "")</f>
        <v>탭상세에 조회된 각 데이터 종류에 따른 포맷 형태를 확인한다.</v>
      </c>
      <c r="F43" s="27" t="str">
        <f>IFERROR(VLOOKUP($C43, '테스트 케이스'!$C$6:$F$1002, 4, FALSE), "")</f>
        <v>숫자는 천단위 반점표기, 날짜는 yyyy-mm-dd (숫자 : 오른쪽 정렬 , 텍스트 : 왼쪽 정렬 , 코드/날짜 : 가운데 정렬)</v>
      </c>
      <c r="G43" s="9" t="s">
        <v>59</v>
      </c>
      <c r="H43" s="31">
        <v>45747</v>
      </c>
      <c r="I43" s="11"/>
    </row>
    <row r="44" spans="1:9" x14ac:dyDescent="0.3">
      <c r="A44" s="47"/>
      <c r="B44" s="39" t="s">
        <v>136</v>
      </c>
      <c r="C44" s="3" t="s">
        <v>183</v>
      </c>
      <c r="D44" s="27" t="str">
        <f>IFERROR(VLOOKUP($C44, '테스트 케이스'!$C$6:$F$1002, 2, FALSE), "")</f>
        <v>탭상세페이지를 닫는다.</v>
      </c>
      <c r="E44" s="27" t="str">
        <f>IFERROR(VLOOKUP($C44, '테스트 케이스'!$C$6:$F$1002, 3, FALSE), "")</f>
        <v>하단에 펼쳐진 탭상세페이지 닫기버튼 (ⓧ) 클릭</v>
      </c>
      <c r="F44" s="27" t="str">
        <f>IFERROR(VLOOKUP($C44, '테스트 케이스'!$C$6:$F$1002, 4, FALSE), "")</f>
        <v>탭상세페이지 닫힘</v>
      </c>
      <c r="G44" s="9" t="s">
        <v>59</v>
      </c>
      <c r="H44" s="31">
        <v>45747</v>
      </c>
      <c r="I44" s="11"/>
    </row>
    <row r="45" spans="1:9" x14ac:dyDescent="0.3">
      <c r="A45" s="47"/>
      <c r="B45" s="40"/>
      <c r="C45" s="3" t="s">
        <v>184</v>
      </c>
      <c r="D45" s="27" t="str">
        <f>IFERROR(VLOOKUP($C45, '테스트 케이스'!$C$6:$F$1002, 2, FALSE), "")</f>
        <v>(팝업창) 탭상세페이지를 닫는다.</v>
      </c>
      <c r="E45" s="27" t="str">
        <f>IFERROR(VLOOKUP($C45, '테스트 케이스'!$C$6:$F$1002, 3, FALSE), "")</f>
        <v>탭상세 창닫기 X 버튼 클릭</v>
      </c>
      <c r="F45" s="27" t="str">
        <f>IFERROR(VLOOKUP($C45, '테스트 케이스'!$C$6:$F$1002, 4, FALSE), "")</f>
        <v>탭상세페이지 닫힘</v>
      </c>
      <c r="G45" s="9" t="s">
        <v>59</v>
      </c>
      <c r="H45" s="31">
        <v>45747</v>
      </c>
      <c r="I45" s="11"/>
    </row>
    <row r="46" spans="1:9" ht="27" x14ac:dyDescent="0.3">
      <c r="A46" s="47"/>
      <c r="B46" s="42" t="s">
        <v>137</v>
      </c>
      <c r="C46" s="3" t="s">
        <v>185</v>
      </c>
      <c r="D46" s="27" t="str">
        <f>IFERROR(VLOOKUP($C46, '테스트 케이스'!$C$6:$F$1002, 2, FALSE), "")</f>
        <v>저장된 정기점검실행 데이터의 필수값과 그 외 값을 수정한다.</v>
      </c>
      <c r="E46" s="27" t="str">
        <f>IFERROR(VLOOKUP($C46, '테스트 케이스'!$C$6:$F$1002, 3, FALSE), "")</f>
        <v>탭상세화면(혹은 상세보기 팝업)에서 데이터 수정, 저장 클릭 후 저장 팝업창에서 OK 버튼 클릭</v>
      </c>
      <c r="F46" s="27" t="str">
        <f>IFERROR(VLOOKUP($C46, '테스트 케이스'!$C$6:$F$1002, 4, FALSE), "")</f>
        <v>변경사항이 저장됨 (상세보기 팝업창에서 수정 후 탭목록에 반영되려면 새로고침해야함)</v>
      </c>
      <c r="G46" s="9" t="s">
        <v>59</v>
      </c>
      <c r="H46" s="31">
        <v>45747</v>
      </c>
      <c r="I46" s="11"/>
    </row>
    <row r="47" spans="1:9" ht="27" x14ac:dyDescent="0.3">
      <c r="A47" s="47"/>
      <c r="B47" s="42"/>
      <c r="C47" s="3" t="s">
        <v>186</v>
      </c>
      <c r="D47" s="27" t="str">
        <f>IFERROR(VLOOKUP($C47, '테스트 케이스'!$C$6:$F$1002, 2, FALSE), "")</f>
        <v>저장된 정기점검실행 데이터의 필수값을 제외 한 후 그 외 값을 수정한다.</v>
      </c>
      <c r="E47" s="27" t="str">
        <f>IFERROR(VLOOKUP($C47, '테스트 케이스'!$C$6:$F$1002, 3, FALSE), "")</f>
        <v>탭상세화면(혹은 상세보기 팝업)에서 필수값 삭제 후 데이터 수정, 저장 클릭 후 저장 팝업창에서 OK 버튼 클릭</v>
      </c>
      <c r="F47" s="27" t="str">
        <f>IFERROR(VLOOKUP($C47, '테스트 케이스'!$C$6:$F$1002, 4, FALSE), "")</f>
        <v>필수값 누락에 대한 팝업 표시. 수정 불가 확인</v>
      </c>
      <c r="G47" s="9" t="s">
        <v>59</v>
      </c>
      <c r="H47" s="31">
        <v>45747</v>
      </c>
      <c r="I47" s="11"/>
    </row>
    <row r="48" spans="1:9" x14ac:dyDescent="0.3">
      <c r="A48" s="47"/>
      <c r="B48" s="3" t="s">
        <v>138</v>
      </c>
      <c r="C48" s="3" t="s">
        <v>187</v>
      </c>
      <c r="D48" s="27" t="str">
        <f>IFERROR(VLOOKUP($C48, '테스트 케이스'!$C$6:$F$1002, 2, FALSE), "")</f>
        <v>탭목록에 조회된 데이터를 Excel 다운로드한다.</v>
      </c>
      <c r="E48" s="27" t="str">
        <f>IFERROR(VLOOKUP($C48, '테스트 케이스'!$C$6:$F$1002, 3, FALSE), "")</f>
        <v>Excel 버튼 클릭</v>
      </c>
      <c r="F48" s="27" t="str">
        <f>IFERROR(VLOOKUP($C48, '테스트 케이스'!$C$6:$F$1002, 4, FALSE), "")</f>
        <v>탭목록 헤더만 입력된 Excel 파일이 다운로드됨</v>
      </c>
      <c r="G48" s="9" t="s">
        <v>59</v>
      </c>
      <c r="H48" s="31">
        <v>45747</v>
      </c>
      <c r="I48" s="11"/>
    </row>
    <row r="49" spans="1:9" ht="27" x14ac:dyDescent="0.3">
      <c r="A49" s="47"/>
      <c r="B49" s="42" t="s">
        <v>120</v>
      </c>
      <c r="C49" s="3" t="s">
        <v>188</v>
      </c>
      <c r="D49" s="27" t="str">
        <f>IFERROR(VLOOKUP($C49, '테스트 케이스'!$C$6:$F$1002, 2, FALSE), "")</f>
        <v>탭상세 입력필드 순서를 변경한다.</v>
      </c>
      <c r="E49" s="27" t="str">
        <f>IFERROR(VLOOKUP($C49, '테스트 케이스'!$C$6:$F$1002, 3, FALSE), "")</f>
        <v>Setting 버튼 클릭, Setting 팝업창에서 특정 필드 항목의 정렬값 숫자를 변경 후 저장</v>
      </c>
      <c r="F49" s="27" t="str">
        <f>IFERROR(VLOOKUP($C49, '테스트 케이스'!$C$6:$F$1002, 4, FALSE), "")</f>
        <v>해당 필드가 정렬값대로 나열됨 (작은 숫자일수록 앞에 나열됨, 새로고침 후 반영 확인)</v>
      </c>
      <c r="G49" s="9" t="s">
        <v>59</v>
      </c>
      <c r="H49" s="31">
        <v>45807</v>
      </c>
      <c r="I49" s="11"/>
    </row>
    <row r="50" spans="1:9" ht="27" x14ac:dyDescent="0.3">
      <c r="A50" s="47"/>
      <c r="B50" s="42"/>
      <c r="C50" s="3" t="s">
        <v>189</v>
      </c>
      <c r="D50" s="27" t="str">
        <f>IFERROR(VLOOKUP($C50, '테스트 케이스'!$C$6:$F$1002, 2, FALSE), "")</f>
        <v>탭상세 입력필드를 보이지 않게 숨긴다.</v>
      </c>
      <c r="E50" s="27" t="str">
        <f>IFERROR(VLOOKUP($C50, '테스트 케이스'!$C$6:$F$1002, 3, FALSE), "")</f>
        <v>Setting 버튼 클릭, Setting 팝업창에서 특정 필드 숨김 설정 (화면 Display여부 N) 후 저장</v>
      </c>
      <c r="F50" s="27" t="str">
        <f>IFERROR(VLOOKUP($C50, '테스트 케이스'!$C$6:$F$1002, 4, FALSE), "")</f>
        <v>해당 필드가 상세에서 숨겨짐</v>
      </c>
      <c r="G50" s="9" t="s">
        <v>59</v>
      </c>
      <c r="H50" s="31">
        <v>45807</v>
      </c>
      <c r="I50" s="11"/>
    </row>
    <row r="51" spans="1:9" ht="27" x14ac:dyDescent="0.3">
      <c r="A51" s="47"/>
      <c r="B51" s="42"/>
      <c r="C51" s="3" t="s">
        <v>190</v>
      </c>
      <c r="D51" s="27" t="str">
        <f>IFERROR(VLOOKUP($C51, '테스트 케이스'!$C$6:$F$1002, 2, FALSE), "")</f>
        <v>탭상세 입력필드를 보이도록 한다.</v>
      </c>
      <c r="E51" s="27" t="str">
        <f>IFERROR(VLOOKUP($C51, '테스트 케이스'!$C$6:$F$1002, 3, FALSE), "")</f>
        <v>Setting 버튼 클릭, Setting 팝업창에서 특정 필드 숨김 설정 (화면 Display여부 Y) 후 저장</v>
      </c>
      <c r="F51" s="27" t="str">
        <f>IFERROR(VLOOKUP($C51, '테스트 케이스'!$C$6:$F$1002, 4, FALSE), "")</f>
        <v>해당 필드가 상세에서 보임</v>
      </c>
      <c r="G51" s="9" t="s">
        <v>59</v>
      </c>
      <c r="H51" s="31">
        <v>45807</v>
      </c>
      <c r="I51" s="11"/>
    </row>
    <row r="52" spans="1:9" ht="27" x14ac:dyDescent="0.3">
      <c r="A52" s="47"/>
      <c r="B52" s="42"/>
      <c r="C52" s="3" t="s">
        <v>191</v>
      </c>
      <c r="D52" s="27" t="str">
        <f>IFERROR(VLOOKUP($C52, '테스트 케이스'!$C$6:$F$1002, 2, FALSE), "")</f>
        <v>탭상세 입력필드명을 변경한다.</v>
      </c>
      <c r="E52" s="27" t="str">
        <f>IFERROR(VLOOKUP($C52, '테스트 케이스'!$C$6:$F$1002, 3, FALSE), "")</f>
        <v>Setting 버튼 클릭, Setting 팝업창에서 특정 필드 항목의 화면표시명 필드 값 변경 후 저장</v>
      </c>
      <c r="F52" s="27" t="str">
        <f>IFERROR(VLOOKUP($C52, '테스트 케이스'!$C$6:$F$1002, 4, FALSE), "")</f>
        <v>해당 필드의 필드명이 변경됨 (새로고침 후 반영 확인)</v>
      </c>
      <c r="G52" s="9" t="s">
        <v>59</v>
      </c>
      <c r="H52" s="31">
        <v>45807</v>
      </c>
      <c r="I52" s="11"/>
    </row>
    <row r="53" spans="1:9" ht="27" x14ac:dyDescent="0.3">
      <c r="A53" s="47"/>
      <c r="B53" s="39" t="s">
        <v>121</v>
      </c>
      <c r="C53" s="3" t="s">
        <v>192</v>
      </c>
      <c r="D53" s="27" t="str">
        <f>IFERROR(VLOOKUP($C53, '테스트 케이스'!$C$6:$F$1002, 2, FALSE), "")</f>
        <v>탭목록 칼럼을 보이지 않게 숨긴다.</v>
      </c>
      <c r="E53" s="27" t="str">
        <f>IFERROR(VLOOKUP($C53, '테스트 케이스'!$C$6:$F$1002, 3, FALSE), "")</f>
        <v>Setting 버튼 클릭, Setting 팝업창에서 특정 칼럼 숨김 설정 (화면 Display여부 N) 후 저장</v>
      </c>
      <c r="F53" s="27" t="str">
        <f>IFERROR(VLOOKUP($C53, '테스트 케이스'!$C$6:$F$1002, 4, FALSE), "")</f>
        <v>해당 칼럼이 탭목록에서 숨겨짐 (새로고침 후 반영 확인)</v>
      </c>
      <c r="G53" s="9" t="s">
        <v>59</v>
      </c>
      <c r="H53" s="31">
        <v>45807</v>
      </c>
      <c r="I53" s="11"/>
    </row>
    <row r="54" spans="1:9" ht="27" x14ac:dyDescent="0.3">
      <c r="A54" s="47"/>
      <c r="B54" s="41"/>
      <c r="C54" s="3" t="s">
        <v>193</v>
      </c>
      <c r="D54" s="27" t="str">
        <f>IFERROR(VLOOKUP($C54, '테스트 케이스'!$C$6:$F$1002, 2, FALSE), "")</f>
        <v>탭목록 칼럼을 보이도록 한다.</v>
      </c>
      <c r="E54" s="27" t="str">
        <f>IFERROR(VLOOKUP($C54, '테스트 케이스'!$C$6:$F$1002, 3, FALSE), "")</f>
        <v>Setting 버튼 클릭, Setting 팝업창에서 특정 칼럼 숨김 설정 (화면 Display여부 Y) 후 저장</v>
      </c>
      <c r="F54" s="27" t="str">
        <f>IFERROR(VLOOKUP($C54, '테스트 케이스'!$C$6:$F$1002, 4, FALSE), "")</f>
        <v>해당 칼럼이 탭목록에서 보임 (새로고침 후 반영 확인)</v>
      </c>
      <c r="G54" s="9" t="s">
        <v>59</v>
      </c>
      <c r="H54" s="31">
        <v>45807</v>
      </c>
      <c r="I54" s="11"/>
    </row>
    <row r="55" spans="1:9" ht="27" x14ac:dyDescent="0.3">
      <c r="A55" s="47"/>
      <c r="B55" s="41"/>
      <c r="C55" s="3" t="s">
        <v>194</v>
      </c>
      <c r="D55" s="27" t="str">
        <f>IFERROR(VLOOKUP($C55, '테스트 케이스'!$C$6:$F$1002, 2, FALSE), "")</f>
        <v>탭목록 칼럼 순서를 변경한다.</v>
      </c>
      <c r="E55" s="27" t="str">
        <f>IFERROR(VLOOKUP($C55, '테스트 케이스'!$C$6:$F$1002, 3, FALSE), "")</f>
        <v>Setting 버튼 클릭, Setting 팝업창에서 특정 칼럼 항목의 정렬값 숫자를 변경 후 저장</v>
      </c>
      <c r="F55" s="27" t="str">
        <f>IFERROR(VLOOKUP($C55, '테스트 케이스'!$C$6:$F$1002, 4, FALSE), "")</f>
        <v>해당 칼럼이 정렬값대로 나열됨 (작은 숫자일수록 앞에 나열됨, 새로고침 후 반영 확인)</v>
      </c>
      <c r="G55" s="9" t="s">
        <v>59</v>
      </c>
      <c r="H55" s="31">
        <v>45807</v>
      </c>
      <c r="I55" s="11"/>
    </row>
    <row r="56" spans="1:9" ht="27" x14ac:dyDescent="0.3">
      <c r="A56" s="47"/>
      <c r="B56" s="41"/>
      <c r="C56" s="3" t="s">
        <v>195</v>
      </c>
      <c r="D56" s="27" t="str">
        <f>IFERROR(VLOOKUP($C56, '테스트 케이스'!$C$6:$F$1002, 2, FALSE), "")</f>
        <v>탭목록 칼럼 너비를 변경한다.</v>
      </c>
      <c r="E56" s="27" t="str">
        <f>IFERROR(VLOOKUP($C56, '테스트 케이스'!$C$6:$F$1002, 3, FALSE), "")</f>
        <v>Setting 버튼 클릭, Setting 팝업창에서 특정 칼럼 항목의 칼럼너비(숫자)를 입력 후 저장</v>
      </c>
      <c r="F56" s="27" t="str">
        <f>IFERROR(VLOOKUP($C56, '테스트 케이스'!$C$6:$F$1002, 4, FALSE), "")</f>
        <v>해당 칼럼의 너비가 변경됨 (새로고침 후 반영 확인)</v>
      </c>
      <c r="G56" s="9" t="s">
        <v>59</v>
      </c>
      <c r="H56" s="31">
        <v>45807</v>
      </c>
      <c r="I56" s="11"/>
    </row>
    <row r="57" spans="1:9" ht="27" x14ac:dyDescent="0.3">
      <c r="A57" s="47"/>
      <c r="B57" s="41"/>
      <c r="C57" s="3" t="s">
        <v>196</v>
      </c>
      <c r="D57" s="27" t="str">
        <f>IFERROR(VLOOKUP($C57, '테스트 케이스'!$C$6:$F$1002, 2, FALSE), "")</f>
        <v>탭목록 칼럼 정렬을 변경한다.</v>
      </c>
      <c r="E57" s="27" t="str">
        <f>IFERROR(VLOOKUP($C57, '테스트 케이스'!$C$6:$F$1002, 3, FALSE), "")</f>
        <v>Setting 버튼 클릭, Setting 팝업창에서 특정 칼럼 항목의 정렬 설정 (Left, Center, Right) 후 저장</v>
      </c>
      <c r="F57" s="27" t="str">
        <f>IFERROR(VLOOKUP($C57, '테스트 케이스'!$C$6:$F$1002, 4, FALSE), "")</f>
        <v>해당 칼럼의 텍스트 정렬 위치가 변경됨 (새로고침 후 반영 확인)</v>
      </c>
      <c r="G57" s="9" t="s">
        <v>59</v>
      </c>
      <c r="H57" s="31">
        <v>45807</v>
      </c>
      <c r="I57" s="11"/>
    </row>
    <row r="58" spans="1:9" ht="27" x14ac:dyDescent="0.3">
      <c r="A58" s="47"/>
      <c r="B58" s="41"/>
      <c r="C58" s="3" t="s">
        <v>197</v>
      </c>
      <c r="D58" s="27" t="str">
        <f>IFERROR(VLOOKUP($C58, '테스트 케이스'!$C$6:$F$1002, 2, FALSE), "")</f>
        <v>탭목록 칼럼의 데이터 조회순서를 변경한다.</v>
      </c>
      <c r="E58" s="27" t="str">
        <f>IFERROR(VLOOKUP($C58, '테스트 케이스'!$C$6:$F$1002, 3, FALSE), "")</f>
        <v>Setting 버튼 클릭, Setting 팝업창에서 특정 칼럼 항목의 조회순서 설정 (ASC, DESC) 후 저장</v>
      </c>
      <c r="F58" s="27" t="str">
        <f>IFERROR(VLOOKUP($C58, '테스트 케이스'!$C$6:$F$1002, 4, FALSE), "")</f>
        <v>해당 칼럼의 데이터 조회 순서 변경 (새로고침 후 반영 확인, ASC : 오름차순, DESC : 내림차순)</v>
      </c>
      <c r="G58" s="9" t="s">
        <v>59</v>
      </c>
      <c r="H58" s="31">
        <v>45807</v>
      </c>
      <c r="I58" s="11"/>
    </row>
    <row r="59" spans="1:9" ht="27" x14ac:dyDescent="0.3">
      <c r="A59" s="47"/>
      <c r="B59" s="41"/>
      <c r="C59" s="3" t="s">
        <v>198</v>
      </c>
      <c r="D59" s="27" t="str">
        <f>IFERROR(VLOOKUP($C59, '테스트 케이스'!$C$6:$F$1002, 2, FALSE), "")</f>
        <v>탭목록 칼럼의 배경 색상을 변경한다.</v>
      </c>
      <c r="E59" s="27" t="str">
        <f>IFERROR(VLOOKUP($C59, '테스트 케이스'!$C$6:$F$1002, 3, FALSE), "")</f>
        <v>Setting 버튼 클릭, Setting 팝업창에서 특정 칼럼 항목의 Background Color 선택 (&gt;,&gt;=,&lt;,&lt;=,!=,Not in,In / Blue, Red) 후 저장</v>
      </c>
      <c r="F59" s="27" t="str">
        <f>IFERROR(VLOOKUP($C59, '테스트 케이스'!$C$6:$F$1002, 4, FALSE), "")</f>
        <v>해당 칼럼의 배경 색상 변경 (새로고침 후 반영 확인, 특정값을 기준으로 크거나 작을 때 배경 색깔이 바뀌도록 설정 가능함)</v>
      </c>
      <c r="G59" s="9" t="s">
        <v>59</v>
      </c>
      <c r="H59" s="31">
        <v>45807</v>
      </c>
      <c r="I59" s="11"/>
    </row>
    <row r="60" spans="1:9" ht="27" x14ac:dyDescent="0.3">
      <c r="A60" s="47"/>
      <c r="B60" s="41"/>
      <c r="C60" s="3" t="s">
        <v>199</v>
      </c>
      <c r="D60" s="27" t="str">
        <f>IFERROR(VLOOKUP($C60, '테스트 케이스'!$C$6:$F$1002, 2, FALSE), "")</f>
        <v>탭목록 칼럼의 리스트 길이를 변경한다. (-/+ 버튼)</v>
      </c>
      <c r="E60" s="27" t="str">
        <f>IFERROR(VLOOKUP($C60, '테스트 케이스'!$C$6:$F$1002, 3, FALSE), "")</f>
        <v>Setting 버튼 클릭, Setting 팝업창에서 특정 칼럼 항목의 리스트 길이 (-,+) 설정 후 저장</v>
      </c>
      <c r="F60" s="27" t="str">
        <f>IFERROR(VLOOKUP($C60, '테스트 케이스'!$C$6:$F$1002, 4, FALSE), "")</f>
        <v>해당 칼럼의 목록 리스트 길이가 증가 또는 감소됨 (새로고침 후 반영 확인, - : 숫자 감소, + : 숫자 증가)</v>
      </c>
      <c r="G60" s="9" t="s">
        <v>59</v>
      </c>
      <c r="H60" s="31">
        <v>45807</v>
      </c>
      <c r="I60" s="11"/>
    </row>
    <row r="61" spans="1:9" ht="27" x14ac:dyDescent="0.3">
      <c r="A61" s="47"/>
      <c r="B61" s="40"/>
      <c r="C61" s="3" t="s">
        <v>200</v>
      </c>
      <c r="D61" s="27" t="str">
        <f>IFERROR(VLOOKUP($C61, '테스트 케이스'!$C$6:$F$1002, 2, FALSE), "")</f>
        <v>탭목록 칼럼의 리스트 길이를 변경한다. (숫자 입력)</v>
      </c>
      <c r="E61" s="27" t="str">
        <f>IFERROR(VLOOKUP($C61, '테스트 케이스'!$C$6:$F$1002, 3, FALSE), "")</f>
        <v>Setting 버튼 클릭, Setting 팝업창에서 리스트 길이 숫자 입력 후 저장</v>
      </c>
      <c r="F61" s="27" t="str">
        <f>IFERROR(VLOOKUP($C61, '테스트 케이스'!$C$6:$F$1002, 4, FALSE), "")</f>
        <v>해당 칼럼의 리스트 길이가 입력한 숫자만큼 변경됨 (새로고침 후 반영 확인)</v>
      </c>
      <c r="G61" s="9" t="s">
        <v>59</v>
      </c>
      <c r="H61" s="31">
        <v>45807</v>
      </c>
      <c r="I61" s="11"/>
    </row>
    <row r="62" spans="1:9" ht="27" x14ac:dyDescent="0.3">
      <c r="A62" s="47"/>
      <c r="B62" s="39" t="s">
        <v>213</v>
      </c>
      <c r="C62" s="3" t="s">
        <v>201</v>
      </c>
      <c r="D62" s="27" t="str">
        <f>IFERROR(VLOOKUP($C62, '테스트 케이스'!$C$6:$F$1002, 2, FALSE), "")</f>
        <v>정기점검을 확정처리한다. (필수값 입력O)</v>
      </c>
      <c r="E62" s="27" t="str">
        <f>IFERROR(VLOOKUP($C62, '테스트 케이스'!$C$6:$F$1002, 3, FALSE), "")</f>
        <v>확정 버튼 클릭</v>
      </c>
      <c r="F62" s="27" t="str">
        <f>IFERROR(VLOOKUP($C62, '테스트 케이스'!$C$6:$F$1002, 4, FALSE), "")</f>
        <v>완료일자 오늘 날짜로 변경, 일정상태 작업완료로 변경되고 페이지 수정 불가 확인</v>
      </c>
      <c r="G62" s="9" t="s">
        <v>59</v>
      </c>
      <c r="H62" s="31">
        <v>45747</v>
      </c>
      <c r="I62" s="11"/>
    </row>
    <row r="63" spans="1:9" x14ac:dyDescent="0.3">
      <c r="A63" s="47"/>
      <c r="B63" s="40"/>
      <c r="C63" s="3" t="s">
        <v>202</v>
      </c>
      <c r="D63" s="27" t="str">
        <f>IFERROR(VLOOKUP($C63, '테스트 케이스'!$C$6:$F$1002, 2, FALSE), "")</f>
        <v>정기점검을 확정처리한다. (필수값 입력X)</v>
      </c>
      <c r="E63" s="27" t="str">
        <f>IFERROR(VLOOKUP($C63, '테스트 케이스'!$C$6:$F$1002, 3, FALSE), "")</f>
        <v>확정 버튼 클릭</v>
      </c>
      <c r="F63" s="27" t="str">
        <f>IFERROR(VLOOKUP($C63, '테스트 케이스'!$C$6:$F$1002, 4, FALSE), "")</f>
        <v>필수값 누락에 대한 팝업 표시. 확정 불가 확인</v>
      </c>
      <c r="G63" s="9" t="s">
        <v>59</v>
      </c>
      <c r="H63" s="31">
        <v>45747</v>
      </c>
      <c r="I63" s="11"/>
    </row>
    <row r="64" spans="1:9" x14ac:dyDescent="0.3">
      <c r="A64" s="47"/>
      <c r="B64" s="39" t="s">
        <v>214</v>
      </c>
      <c r="C64" s="3" t="s">
        <v>203</v>
      </c>
      <c r="D64" s="27" t="str">
        <f>IFERROR(VLOOKUP($C64, '테스트 케이스'!$C$6:$F$1002, 2, FALSE), "")</f>
        <v>기준서를 확인한다.</v>
      </c>
      <c r="E64" s="27" t="str">
        <f>IFERROR(VLOOKUP($C64, '테스트 케이스'!$C$6:$F$1002, 3, FALSE), "")</f>
        <v>Linked 클릭, 기준서 링크 클릭</v>
      </c>
      <c r="F64" s="27" t="str">
        <f>IFERROR(VLOOKUP($C64, '테스트 케이스'!$C$6:$F$1002, 4, FALSE), "")</f>
        <v>해당 점검의 기준서(정기점검주기설정) 팝업창 열림 확인</v>
      </c>
      <c r="G64" s="9" t="s">
        <v>59</v>
      </c>
      <c r="H64" s="31">
        <v>45747</v>
      </c>
      <c r="I64" s="11"/>
    </row>
    <row r="65" spans="1:9" x14ac:dyDescent="0.3">
      <c r="A65" s="47"/>
      <c r="B65" s="40"/>
      <c r="C65" s="3" t="s">
        <v>204</v>
      </c>
      <c r="D65" s="27" t="str">
        <f>IFERROR(VLOOKUP($C65, '테스트 케이스'!$C$6:$F$1002, 2, FALSE), "")</f>
        <v>정기점검결과출력을 확인한다.</v>
      </c>
      <c r="E65" s="27" t="str">
        <f>IFERROR(VLOOKUP($C65, '테스트 케이스'!$C$6:$F$1002, 3, FALSE), "")</f>
        <v>Linked 클릭, 정기점검결과출력 링크 클릭</v>
      </c>
      <c r="F65" s="27" t="str">
        <f>IFERROR(VLOOKUP($C65, '테스트 케이스'!$C$6:$F$1002, 4, FALSE), "")</f>
        <v>해당 점검의 정기점검결과서 출력물 팝업창 열림 확인</v>
      </c>
      <c r="G65" s="9" t="s">
        <v>59</v>
      </c>
      <c r="H65" s="31">
        <v>45747</v>
      </c>
      <c r="I65" s="11"/>
    </row>
    <row r="66" spans="1:9" ht="83.25" customHeight="1" x14ac:dyDescent="0.3">
      <c r="A66" s="47"/>
      <c r="B66" s="39" t="s">
        <v>232</v>
      </c>
      <c r="C66" s="3" t="s">
        <v>240</v>
      </c>
      <c r="D66" s="27" t="str">
        <f>IFERROR(VLOOKUP($C66, '테스트 케이스'!$C$6:$F$1002, 2, FALSE), "")</f>
        <v>목록 컬럼 데이터를 수정한다.</v>
      </c>
      <c r="E66" s="27" t="str">
        <f>IFERROR(VLOOKUP($C66, '테스트 케이스'!$C$6:$F$1002, 3, FALSE), "")</f>
        <v>Edit 버튼 클릭, 목록 특정 칼람 항목 클릭 후 데이터 수정, 저장 클릭 후 저장 팝업창에서 OK 버튼 클릭</v>
      </c>
      <c r="F66" s="27" t="str">
        <f>IFERROR(VLOOKUP($C66, '테스트 케이스'!$C$6:$F$1002, 4, FALSE), "")</f>
        <v>수정 모드 메시지 창. 변경사항이 저장됨</v>
      </c>
      <c r="G66" s="9" t="s">
        <v>233</v>
      </c>
      <c r="H66" s="31">
        <v>45747</v>
      </c>
      <c r="I66" s="11" t="s">
        <v>234</v>
      </c>
    </row>
    <row r="67" spans="1:9" ht="27" x14ac:dyDescent="0.3">
      <c r="A67" s="47"/>
      <c r="B67" s="40"/>
      <c r="C67" s="3" t="s">
        <v>206</v>
      </c>
      <c r="D67" s="27" t="str">
        <f>IFERROR(VLOOKUP($C67, '테스트 케이스'!$C$6:$F$1002, 2, FALSE), "")</f>
        <v>목록 컬럼 데이터를 수정취소한다.</v>
      </c>
      <c r="E67" s="27" t="str">
        <f>IFERROR(VLOOKUP($C67, '테스트 케이스'!$C$6:$F$1002, 3, FALSE), "")</f>
        <v>Edit 버튼 클릭, 목록 특정 칼람 항목 클릭 후 데이터 수정, 취소버튼 클릭</v>
      </c>
      <c r="F67" s="27" t="str">
        <f>IFERROR(VLOOKUP($C67, '테스트 케이스'!$C$6:$F$1002, 4, FALSE), "")</f>
        <v>수정 취소 메시지 창. 수정모드 진입 이전 상태로 되돌아감</v>
      </c>
      <c r="G67" s="9" t="s">
        <v>59</v>
      </c>
      <c r="H67" s="31">
        <v>45747</v>
      </c>
      <c r="I67" s="11"/>
    </row>
    <row r="68" spans="1:9" x14ac:dyDescent="0.3">
      <c r="A68" s="47"/>
      <c r="B68" s="39" t="s">
        <v>242</v>
      </c>
      <c r="C68" s="3" t="s">
        <v>235</v>
      </c>
      <c r="D68" s="27" t="str">
        <f>IFERROR(VLOOKUP($C68, '테스트 케이스'!$C$6:$F$1002, 2, FALSE), "")</f>
        <v>검색 필드 Lov 팝업창의 데이터 세팅을 확인한다.</v>
      </c>
      <c r="E68" s="27" t="str">
        <f>IFERROR(VLOOKUP($C68, '테스트 케이스'!$C$6:$F$1002, 3, FALSE), "")</f>
        <v>각 필드의 Lov 버튼 클릭</v>
      </c>
      <c r="F68" s="27" t="str">
        <f>IFERROR(VLOOKUP($C68, '테스트 케이스'!$C$6:$F$1002, 4, FALSE), "")</f>
        <v>특정 필드에 해당되는 Lov 팝업창 데이터 확인</v>
      </c>
      <c r="G68" s="9" t="s">
        <v>59</v>
      </c>
      <c r="H68" s="31">
        <v>45757</v>
      </c>
      <c r="I68" s="11"/>
    </row>
    <row r="69" spans="1:9" ht="27" x14ac:dyDescent="0.3">
      <c r="A69" s="47"/>
      <c r="B69" s="40"/>
      <c r="C69" s="3" t="s">
        <v>237</v>
      </c>
      <c r="D69" s="27" t="str">
        <f>IFERROR(VLOOKUP($C69, '테스트 케이스'!$C$6:$F$1002, 2, FALSE), "")</f>
        <v>(행 클릭) 조회된 데이터의 상세정보를 조회한다.</v>
      </c>
      <c r="E69" s="27" t="str">
        <f>IFERROR(VLOOKUP($C69, '테스트 케이스'!$C$6:$F$1002, 3, FALSE), "")</f>
        <v>검색된 목록 데이터 행 클릭</v>
      </c>
      <c r="F69" s="27" t="str">
        <f>IFERROR(VLOOKUP($C69, '테스트 케이스'!$C$6:$F$1002, 4, FALSE), "")</f>
        <v>검색된 목록 하단에 펼쳐지는 상세페이지에서 해당 데이터의 각 항목에 입력된 값을 확인할 수 있음</v>
      </c>
      <c r="G69" s="9" t="s">
        <v>59</v>
      </c>
      <c r="H69" s="31">
        <v>45757</v>
      </c>
      <c r="I69" s="11"/>
    </row>
    <row r="70" spans="1:9" ht="27" x14ac:dyDescent="0.3">
      <c r="A70" s="47"/>
      <c r="B70" s="3" t="s">
        <v>232</v>
      </c>
      <c r="C70" s="3" t="s">
        <v>240</v>
      </c>
      <c r="D70" s="27" t="str">
        <f>IFERROR(VLOOKUP($C70, '테스트 케이스'!$C$6:$F$1002, 2, FALSE), "")</f>
        <v>목록 컬럼 데이터를 수정한다.</v>
      </c>
      <c r="E70" s="27" t="str">
        <f>IFERROR(VLOOKUP($C70, '테스트 케이스'!$C$6:$F$1002, 3, FALSE), "")</f>
        <v>Edit 버튼 클릭, 목록 특정 칼람 항목 클릭 후 데이터 수정, 저장 클릭 후 저장 팝업창에서 OK 버튼 클릭</v>
      </c>
      <c r="F70" s="27" t="str">
        <f>IFERROR(VLOOKUP($C70, '테스트 케이스'!$C$6:$F$1002, 4, FALSE), "")</f>
        <v>수정 모드 메시지 창. 변경사항이 저장됨</v>
      </c>
      <c r="G70" s="9" t="s">
        <v>59</v>
      </c>
      <c r="H70" s="31">
        <v>45757</v>
      </c>
      <c r="I70" s="11"/>
    </row>
    <row r="71" spans="1:9" ht="27" x14ac:dyDescent="0.3">
      <c r="A71" s="48"/>
      <c r="B71" s="38" t="s">
        <v>242</v>
      </c>
      <c r="C71" s="3" t="s">
        <v>249</v>
      </c>
      <c r="D71" s="27" t="str">
        <f>IFERROR(VLOOKUP($C71, '테스트 케이스'!$C$6:$F$1002, 2, FALSE), "")</f>
        <v>검색 필드의 필수값 세팅을 확인한다.</v>
      </c>
      <c r="E71" s="27" t="str">
        <f>IFERROR(VLOOKUP($C71, '테스트 케이스'!$C$6:$F$1002, 3, FALSE), "")</f>
        <v>메뉴 페이지 접속시, 각 필드의 필수값 세팅 확인</v>
      </c>
      <c r="F71" s="27" t="str">
        <f>IFERROR(VLOOKUP($C71, '테스트 케이스'!$C$6:$F$1002, 4, FALSE), "")</f>
        <v>필수값 설정되어있을 시, 필드라벨과 필드란에 색깔로 표기됨</v>
      </c>
      <c r="G71" s="9" t="s">
        <v>59</v>
      </c>
      <c r="H71" s="31">
        <v>45776</v>
      </c>
      <c r="I71" s="11"/>
    </row>
    <row r="72" spans="1:9" x14ac:dyDescent="0.3">
      <c r="A72" s="9"/>
      <c r="B72" s="5"/>
      <c r="C72" s="3"/>
      <c r="D72" s="28"/>
      <c r="E72" s="28"/>
      <c r="F72" s="28"/>
      <c r="G72" s="9"/>
      <c r="H72" s="31"/>
      <c r="I72" s="11"/>
    </row>
    <row r="73" spans="1:9" x14ac:dyDescent="0.3">
      <c r="A73" s="9"/>
      <c r="B73" s="3"/>
      <c r="C73" s="3"/>
      <c r="D73" s="28"/>
      <c r="E73" s="28"/>
      <c r="F73" s="28"/>
      <c r="G73" s="9"/>
      <c r="H73" s="31"/>
      <c r="I73" s="11"/>
    </row>
    <row r="74" spans="1:9" x14ac:dyDescent="0.3">
      <c r="A74" s="9"/>
      <c r="B74" s="3"/>
      <c r="C74" s="3"/>
      <c r="D74" s="28"/>
      <c r="E74" s="28"/>
      <c r="F74" s="28"/>
      <c r="G74" s="9"/>
      <c r="H74" s="31"/>
      <c r="I74" s="11"/>
    </row>
    <row r="75" spans="1:9" x14ac:dyDescent="0.3">
      <c r="A75" s="9"/>
      <c r="B75" s="3"/>
      <c r="C75" s="3"/>
      <c r="D75" s="28"/>
      <c r="E75" s="28"/>
      <c r="F75" s="28"/>
      <c r="G75" s="9"/>
      <c r="H75" s="31"/>
      <c r="I75" s="11"/>
    </row>
    <row r="76" spans="1:9" x14ac:dyDescent="0.3">
      <c r="A76" s="9"/>
      <c r="B76" s="3"/>
      <c r="C76" s="3"/>
      <c r="D76" s="28"/>
      <c r="E76" s="28"/>
      <c r="F76" s="28"/>
      <c r="G76" s="9"/>
      <c r="H76" s="31"/>
      <c r="I76" s="11"/>
    </row>
    <row r="77" spans="1:9" x14ac:dyDescent="0.3">
      <c r="A77" s="9"/>
      <c r="B77" s="3"/>
      <c r="C77" s="3"/>
      <c r="D77" s="28"/>
      <c r="E77" s="28"/>
      <c r="F77" s="28"/>
      <c r="G77" s="9"/>
      <c r="H77" s="31"/>
      <c r="I77" s="11"/>
    </row>
    <row r="79" spans="1:9" x14ac:dyDescent="0.3">
      <c r="A79" s="12" t="s">
        <v>57</v>
      </c>
    </row>
    <row r="80" spans="1:9" x14ac:dyDescent="0.3">
      <c r="A80" s="8" t="s">
        <v>0</v>
      </c>
      <c r="B80" s="8" t="s">
        <v>1</v>
      </c>
      <c r="C80" s="8" t="s">
        <v>2</v>
      </c>
      <c r="D80" s="8" t="s">
        <v>3</v>
      </c>
      <c r="E80" s="8" t="s">
        <v>4</v>
      </c>
      <c r="F80" s="8" t="s">
        <v>5</v>
      </c>
      <c r="G80" s="25" t="s">
        <v>6</v>
      </c>
      <c r="H80" s="26" t="s">
        <v>7</v>
      </c>
      <c r="I80" s="25" t="s">
        <v>8</v>
      </c>
    </row>
    <row r="81" spans="1:9" ht="27" x14ac:dyDescent="0.3">
      <c r="A81" s="10" t="str">
        <f>A6</f>
        <v>정기점검실행_AP591</v>
      </c>
      <c r="B81" s="9">
        <f>'테스트 케이스'!B81</f>
        <v>0</v>
      </c>
      <c r="C81" s="5" t="s">
        <v>207</v>
      </c>
      <c r="D81" s="29">
        <f>IFERROR(VLOOKUP($C81, '테스트 케이스'!$C$6:$F$1002, 2, FALSE), "")</f>
        <v>0</v>
      </c>
      <c r="E81" s="29">
        <f>IFERROR(VLOOKUP($C81, '테스트 케이스'!$C$6:$F$1002, 3, FALSE), "")</f>
        <v>0</v>
      </c>
      <c r="F81" s="29">
        <f>IFERROR(VLOOKUP($C81, '테스트 케이스'!$C$6:$F$1002, 4, FALSE), "")</f>
        <v>0</v>
      </c>
      <c r="G81" s="9"/>
      <c r="H81" s="31"/>
      <c r="I81" s="11"/>
    </row>
    <row r="82" spans="1:9" x14ac:dyDescent="0.3">
      <c r="A82" s="11"/>
      <c r="B82" s="11"/>
      <c r="C82" s="9"/>
      <c r="D82" s="11"/>
      <c r="E82" s="11"/>
      <c r="F82" s="11"/>
      <c r="G82" s="9"/>
      <c r="H82" s="31"/>
      <c r="I82" s="11"/>
    </row>
    <row r="83" spans="1:9" x14ac:dyDescent="0.3">
      <c r="A83" s="11"/>
      <c r="B83" s="11"/>
      <c r="C83" s="9"/>
      <c r="D83" s="11"/>
      <c r="E83" s="11"/>
      <c r="F83" s="11"/>
      <c r="G83" s="9"/>
      <c r="H83" s="31"/>
      <c r="I83" s="11"/>
    </row>
  </sheetData>
  <mergeCells count="17">
    <mergeCell ref="A2:I2"/>
    <mergeCell ref="B6:B15"/>
    <mergeCell ref="B16:B17"/>
    <mergeCell ref="B18:B19"/>
    <mergeCell ref="B29:B37"/>
    <mergeCell ref="B21:B24"/>
    <mergeCell ref="B25:B28"/>
    <mergeCell ref="B44:B45"/>
    <mergeCell ref="B46:B47"/>
    <mergeCell ref="B49:B52"/>
    <mergeCell ref="B53:B61"/>
    <mergeCell ref="A6:A71"/>
    <mergeCell ref="B68:B69"/>
    <mergeCell ref="B38:B43"/>
    <mergeCell ref="B62:B63"/>
    <mergeCell ref="B64:B65"/>
    <mergeCell ref="B66:B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테스트 실행 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임 효진</cp:lastModifiedBy>
  <dcterms:created xsi:type="dcterms:W3CDTF">2025-02-10T07:03:31Z</dcterms:created>
  <dcterms:modified xsi:type="dcterms:W3CDTF">2025-05-30T01:36:34Z</dcterms:modified>
</cp:coreProperties>
</file>