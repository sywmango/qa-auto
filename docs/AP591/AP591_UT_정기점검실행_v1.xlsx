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975" yWindow="2925" windowWidth="24960" windowHeight="11295" tabRatio="600" firstSheet="0" activeTab="1" autoFilterDateGrouping="1"/>
  </bookViews>
  <sheets>
    <sheet name="테스트 케이스" sheetId="1" state="visible" r:id="rId1"/>
    <sheet name="Dev 조치사항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20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20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FF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4" fontId="9" fillId="0" borderId="0" applyAlignment="1" pivotButton="0" quotePrefix="0" xfId="0">
      <alignment horizontal="center" vertical="center" wrapText="1"/>
    </xf>
    <xf numFmtId="14" fontId="9" fillId="0" borderId="1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14" fontId="2" fillId="3" borderId="4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4" fontId="10" fillId="0" borderId="0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vertical="top" wrapText="1"/>
    </xf>
    <xf numFmtId="164" fontId="9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9" fillId="0" borderId="4" applyAlignment="1" pivotButton="0" quotePrefix="0" xfId="0">
      <alignment horizontal="center" vertical="center" wrapText="1"/>
    </xf>
    <xf numFmtId="165" fontId="9" fillId="0" borderId="4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61"/>
  <sheetViews>
    <sheetView zoomScale="80" zoomScaleNormal="80" workbookViewId="0">
      <pane xSplit="4" ySplit="5" topLeftCell="F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baseColWidth="8" defaultColWidth="9" defaultRowHeight="16.5"/>
  <cols>
    <col width="15.375" bestFit="1" customWidth="1" style="36" min="1" max="1"/>
    <col width="15.375" customWidth="1" style="36" min="2" max="2"/>
    <col width="8.75" bestFit="1" customWidth="1" style="37" min="3" max="3"/>
    <col width="14.5" bestFit="1" customWidth="1" style="46" min="4" max="4"/>
    <col width="43.5" customWidth="1" style="46" min="5" max="5"/>
    <col width="61.875" customWidth="1" style="46" min="6" max="6"/>
    <col width="60.5" bestFit="1" customWidth="1" style="46" min="7" max="7"/>
    <col width="14" customWidth="1" style="47" min="8" max="8"/>
    <col width="18.25" customWidth="1" style="47" min="9" max="9"/>
    <col width="37.875" customWidth="1" style="48" min="10" max="10"/>
    <col width="21" customWidth="1" style="47" min="11" max="11"/>
    <col width="9" customWidth="1" style="46" min="12" max="13"/>
    <col width="9" customWidth="1" style="46" min="14" max="16384"/>
  </cols>
  <sheetData>
    <row r="2" ht="31.5" customHeight="1" s="49">
      <c r="A2" s="45">
        <f>"Dream 4.1 "&amp;CLEAN(A6)&amp;" 단위테스트"</f>
        <v/>
      </c>
    </row>
    <row r="4">
      <c r="A4" s="27" t="inlineStr">
        <is>
          <t>공통</t>
        </is>
      </c>
      <c r="B4" s="28" t="n"/>
      <c r="C4" s="38" t="n"/>
      <c r="D4" s="39" t="n"/>
      <c r="E4" s="38" t="n"/>
      <c r="F4" s="38" t="n"/>
      <c r="G4" s="38" t="n"/>
      <c r="H4" s="29" t="n"/>
      <c r="I4" s="39" t="n"/>
      <c r="J4" s="40" t="n"/>
      <c r="K4" s="30" t="inlineStr">
        <is>
          <t>H,I,J,K 행 수식 수정 금지</t>
        </is>
      </c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12" t="inlineStr">
        <is>
          <t>QA날짜</t>
        </is>
      </c>
    </row>
    <row r="6" ht="16.5" customHeight="1" s="49">
      <c r="A6" s="43" t="inlineStr">
        <is>
          <t>정기점검실행_AP591</t>
        </is>
      </c>
      <c r="B6" s="43" t="inlineStr">
        <is>
          <t>카렌다(월간), 목록(조건)</t>
        </is>
      </c>
      <c r="C6" s="43" t="inlineStr">
        <is>
          <t>검색</t>
        </is>
      </c>
      <c r="D6" s="43" t="inlineStr">
        <is>
          <t>AP591_TC_001</t>
        </is>
      </c>
      <c r="E6" s="3" t="inlineStr">
        <is>
          <t>검색 필드의 기본값을 확인한다.</t>
        </is>
      </c>
      <c r="F6" s="4" t="inlineStr">
        <is>
          <t>메뉴 접속 후 탭마다 검색 영역 확인</t>
        </is>
      </c>
      <c r="G6" s="3" t="inlineStr">
        <is>
          <t>카렌다(월간) 년월 = 이번 달, 목록(조건) 일정조정 일자 시작에 기본 날짜가 들어 있고 나머지 검색 필드는 비어 있음</t>
        </is>
      </c>
      <c r="H6" s="10">
        <f t="array" ref="H6">INDEX('Dev 조치사항'!$H$6:$H$985, MATCH(1, ('Dev 조치사항'!$D$6:$D$985=D6)*('Dev 조치사항'!$K$6:$K$985=_xlfn.MAXIFS('Dev 조치사항'!$K$6:$K$985, 'Dev 조치사항'!$D$6:$D$985, D6)), 0))</f>
        <v/>
      </c>
      <c r="I6" s="11">
        <f t="array" ref="I6">INDEX('Dev 조치사항'!$I$6:$I$985, MATCH(1, ('Dev 조치사항'!$D$6:$D$985=D6)*('Dev 조치사항'!$K$6:$K$985=_xlfn.MAXIFS('Dev 조치사항'!$K$6:$K$985, 'Dev 조치사항'!$D$6:$D$985, D6)), 0))</f>
        <v/>
      </c>
      <c r="J6" s="16">
        <f t="array" ref="J6">IF(
  INDEX('Dev 조치사항'!$J$6:$J$985,
    MATCH(1,
      ('Dev 조치사항'!$D$6:$D$985=D6)*
      ('Dev 조치사항'!$K$6:$K$985=_xlfn.MAXIFS('Dev 조치사항'!$K$6:$K$985, 'Dev 조치사항'!$D$6:$D$985, D6)),
    0)
  ) = "",
  "-",
  INDEX('Dev 조치사항'!$J$6:$J$985,
    MATCH(1,
      ('Dev 조치사항'!$D$6:$D$985=D6)*
      ('Dev 조치사항'!$K$6:$K$985=_xlfn.MAXIFS('Dev 조치사항'!$K$6:$K$985, 'Dev 조치사항'!$D$6:$D$985, D6)),
    0)
  )
)</f>
        <v/>
      </c>
      <c r="K6" s="31">
        <f>_xlfn.MAXIFS('Dev 조치사항'!$K$6:$K$985, 'Dev 조치사항'!$D$6:$D$985, D6)</f>
        <v/>
      </c>
    </row>
    <row r="7" ht="16.5" customHeight="1" s="49">
      <c r="A7" s="42" t="n"/>
      <c r="B7" s="42" t="n"/>
      <c r="C7" s="42" t="n"/>
      <c r="D7" s="43" t="inlineStr">
        <is>
          <t>AP591_TC_002</t>
        </is>
      </c>
      <c r="E7" s="3" t="inlineStr">
        <is>
          <t>검색 필드의 필수값 표시를 확인한다.</t>
        </is>
      </c>
      <c r="F7" s="4" t="inlineStr">
        <is>
          <t>탭마다 필수 표시(•) 필드 확인 → 카렌다(월간) 년월을 비우고 검색</t>
        </is>
      </c>
      <c r="G7" s="3" t="inlineStr">
        <is>
          <t>카렌다(월간) 년월에 필수 표시가 있고, 비우고 검색하면 필수값 안내 팝업이 뜸</t>
        </is>
      </c>
      <c r="H7" s="10">
        <f t="array" ref="H7">INDEX('Dev 조치사항'!$H$6:$H$985, MATCH(1, ('Dev 조치사항'!$D$6:$D$985=D7)*('Dev 조치사항'!$K$6:$K$985=_xlfn.MAXIFS('Dev 조치사항'!$K$6:$K$985, 'Dev 조치사항'!$D$6:$D$985, D7)), 0))</f>
        <v/>
      </c>
      <c r="I7" s="11">
        <f t="array" ref="I7">INDEX('Dev 조치사항'!$I$6:$I$985, MATCH(1, ('Dev 조치사항'!$D$6:$D$985=D7)*('Dev 조치사항'!$K$6:$K$985=_xlfn.MAXIFS('Dev 조치사항'!$K$6:$K$985, 'Dev 조치사항'!$D$6:$D$985, D7)), 0))</f>
        <v/>
      </c>
      <c r="J7" s="16">
        <f t="array" ref="J7">IF(
  INDEX('Dev 조치사항'!$J$6:$J$985,
    MATCH(1,
      ('Dev 조치사항'!$D$6:$D$985=D7)*
      ('Dev 조치사항'!$K$6:$K$985=_xlfn.MAXIFS('Dev 조치사항'!$K$6:$K$985, 'Dev 조치사항'!$D$6:$D$985, D7)),
    0)
  ) = "",
  "-",
  INDEX('Dev 조치사항'!$J$6:$J$985,
    MATCH(1,
      ('Dev 조치사항'!$D$6:$D$985=D7)*
      ('Dev 조치사항'!$K$6:$K$985=_xlfn.MAXIFS('Dev 조치사항'!$K$6:$K$985, 'Dev 조치사항'!$D$6:$D$985, D7)),
    0)
  )
)</f>
        <v/>
      </c>
      <c r="K7" s="31">
        <f>_xlfn.MAXIFS('Dev 조치사항'!$K$6:$K$985, 'Dev 조치사항'!$D$6:$D$985, D7)</f>
        <v/>
      </c>
    </row>
    <row r="8" ht="16.5" customHeight="1" s="49">
      <c r="A8" s="42" t="n"/>
      <c r="B8" s="42" t="n"/>
      <c r="C8" s="42" t="n"/>
      <c r="D8" s="43" t="inlineStr">
        <is>
          <t>AP591_TC_003</t>
        </is>
      </c>
      <c r="E8" s="3" t="inlineStr">
        <is>
          <t>설비 Lov 팝업의 데이터를 확인한다.</t>
        </is>
      </c>
      <c r="F8" s="4" t="inlineStr">
        <is>
          <t>설비 필드의 돋보기(Lov) 클릭 → 팝업 Total 확인</t>
        </is>
      </c>
      <c r="G8" s="3" t="inlineStr">
        <is>
          <t>"설비" Lov 팝업이 열리고, 목록 건수가 [설비자산 &gt; 설비] 메뉴 목록과 일치함</t>
        </is>
      </c>
      <c r="H8" s="10">
        <f t="array" ref="H8">INDEX('Dev 조치사항'!$H$6:$H$985, MATCH(1, ('Dev 조치사항'!$D$6:$D$985=D8)*('Dev 조치사항'!$K$6:$K$985=_xlfn.MAXIFS('Dev 조치사항'!$K$6:$K$985, 'Dev 조치사항'!$D$6:$D$985, D8)), 0))</f>
        <v/>
      </c>
      <c r="I8" s="11">
        <f t="array" ref="I8">INDEX('Dev 조치사항'!$I$6:$I$985, MATCH(1, ('Dev 조치사항'!$D$6:$D$985=D8)*('Dev 조치사항'!$K$6:$K$985=_xlfn.MAXIFS('Dev 조치사항'!$K$6:$K$985, 'Dev 조치사항'!$D$6:$D$985, D8)), 0))</f>
        <v/>
      </c>
      <c r="J8" s="16">
        <f t="array" ref="J8">IF(
  INDEX('Dev 조치사항'!$J$6:$J$985,
    MATCH(1,
      ('Dev 조치사항'!$D$6:$D$985=D8)*
      ('Dev 조치사항'!$K$6:$K$985=_xlfn.MAXIFS('Dev 조치사항'!$K$6:$K$985, 'Dev 조치사항'!$D$6:$D$985, D8)),
    0)
  ) = "",
  "-",
  INDEX('Dev 조치사항'!$J$6:$J$985,
    MATCH(1,
      ('Dev 조치사항'!$D$6:$D$985=D8)*
      ('Dev 조치사항'!$K$6:$K$985=_xlfn.MAXIFS('Dev 조치사항'!$K$6:$K$985, 'Dev 조치사항'!$D$6:$D$985, D8)),
    0)
  )
)</f>
        <v/>
      </c>
      <c r="K8" s="31">
        <f>_xlfn.MAXIFS('Dev 조치사항'!$K$6:$K$985, 'Dev 조치사항'!$D$6:$D$985, D8)</f>
        <v/>
      </c>
    </row>
    <row r="9" ht="16.5" customHeight="1" s="49">
      <c r="A9" s="42" t="n"/>
      <c r="B9" s="42" t="n"/>
      <c r="C9" s="42" t="n"/>
      <c r="D9" s="43" t="inlineStr">
        <is>
          <t>AP591_TC_004</t>
        </is>
      </c>
      <c r="E9" s="3" t="inlineStr">
        <is>
          <t>그 외 검색 필드 Lov 팝업의 데이터를 확인한다.</t>
        </is>
      </c>
      <c r="F9" s="4" t="inlineStr">
        <is>
          <t>공장명, 부서, 작업그룹명, 거래처, 설비위치, 설비종류 (목록(조건)은 담당자, 사용부서, 점검작업상태, 법정설비여부, 관리자(정/부) 포함)의 돋보기(Lov)를 하나씩 클릭</t>
        </is>
      </c>
      <c r="G9" s="3" t="inlineStr">
        <is>
          <t>각 Lov 팝업이 열리고 데이터가 표시됨. 사용하지 않는 점검Group 필드는 보이지 않음</t>
        </is>
      </c>
      <c r="H9" s="10">
        <f t="array" ref="H9">INDEX('Dev 조치사항'!$H$6:$H$985, MATCH(1, ('Dev 조치사항'!$D$6:$D$985=D9)*('Dev 조치사항'!$K$6:$K$985=_xlfn.MAXIFS('Dev 조치사항'!$K$6:$K$985, 'Dev 조치사항'!$D$6:$D$985, D9)), 0))</f>
        <v/>
      </c>
      <c r="I9" s="11">
        <f t="array" ref="I9">INDEX('Dev 조치사항'!$I$6:$I$985, MATCH(1, ('Dev 조치사항'!$D$6:$D$985=D9)*('Dev 조치사항'!$K$6:$K$985=_xlfn.MAXIFS('Dev 조치사항'!$K$6:$K$985, 'Dev 조치사항'!$D$6:$D$985, D9)), 0))</f>
        <v/>
      </c>
      <c r="J9" s="16">
        <f t="array" ref="J9">IF(
  INDEX('Dev 조치사항'!$J$6:$J$985,
    MATCH(1,
      ('Dev 조치사항'!$D$6:$D$985=D9)*
      ('Dev 조치사항'!$K$6:$K$985=_xlfn.MAXIFS('Dev 조치사항'!$K$6:$K$985, 'Dev 조치사항'!$D$6:$D$985, D9)),
    0)
  ) = "",
  "-",
  INDEX('Dev 조치사항'!$J$6:$J$985,
    MATCH(1,
      ('Dev 조치사항'!$D$6:$D$985=D9)*
      ('Dev 조치사항'!$K$6:$K$985=_xlfn.MAXIFS('Dev 조치사항'!$K$6:$K$985, 'Dev 조치사항'!$D$6:$D$985, D9)),
    0)
  )
)</f>
        <v/>
      </c>
      <c r="K9" s="31">
        <f>_xlfn.MAXIFS('Dev 조치사항'!$K$6:$K$985, 'Dev 조치사항'!$D$6:$D$985, D9)</f>
        <v/>
      </c>
    </row>
    <row r="10" ht="16.5" customHeight="1" s="49">
      <c r="A10" s="42" t="n"/>
      <c r="B10" s="42" t="n"/>
      <c r="C10" s="42" t="n"/>
      <c r="D10" s="43" t="inlineStr">
        <is>
          <t>AP591_TC_005</t>
        </is>
      </c>
      <c r="E10" s="3" t="inlineStr">
        <is>
          <t>조건 하나로 정기점검실행을 검색한다.</t>
        </is>
      </c>
      <c r="F10" s="4" t="inlineStr">
        <is>
          <t>탭마다 검색 필드에 실제 데이터 값 1개씩 입력(Lov 필드는 Lov에서 선택) 후 검색 버튼 클릭</t>
        </is>
      </c>
      <c r="G10" s="3" t="inlineStr">
        <is>
          <t>입력한 조건에 맞는 점검작업만 목록에 표시되고, 우측 하단 Total 숫자와 조회 건수가 일치함</t>
        </is>
      </c>
      <c r="H10" s="10">
        <f t="array" ref="H10">INDEX('Dev 조치사항'!$H$6:$H$985, MATCH(1, ('Dev 조치사항'!$D$6:$D$985=D10)*('Dev 조치사항'!$K$6:$K$985=_xlfn.MAXIFS('Dev 조치사항'!$K$6:$K$985, 'Dev 조치사항'!$D$6:$D$985, D10)), 0))</f>
        <v/>
      </c>
      <c r="I10" s="11">
        <f t="array" ref="I10">INDEX('Dev 조치사항'!$I$6:$I$985, MATCH(1, ('Dev 조치사항'!$D$6:$D$985=D10)*('Dev 조치사항'!$K$6:$K$985=_xlfn.MAXIFS('Dev 조치사항'!$K$6:$K$985, 'Dev 조치사항'!$D$6:$D$985, D10)), 0))</f>
        <v/>
      </c>
      <c r="J10" s="16">
        <f t="array" ref="J10">IF(
  INDEX('Dev 조치사항'!$J$6:$J$985,
    MATCH(1,
      ('Dev 조치사항'!$D$6:$D$985=D10)*
      ('Dev 조치사항'!$K$6:$K$985=_xlfn.MAXIFS('Dev 조치사항'!$K$6:$K$985, 'Dev 조치사항'!$D$6:$D$985, D10)),
    0)
  ) = "",
  "-",
  INDEX('Dev 조치사항'!$J$6:$J$985,
    MATCH(1,
      ('Dev 조치사항'!$D$6:$D$985=D10)*
      ('Dev 조치사항'!$K$6:$K$985=_xlfn.MAXIFS('Dev 조치사항'!$K$6:$K$985, 'Dev 조치사항'!$D$6:$D$985, D10)),
    0)
  )
)</f>
        <v/>
      </c>
      <c r="K10" s="31">
        <f>_xlfn.MAXIFS('Dev 조치사항'!$K$6:$K$985, 'Dev 조치사항'!$D$6:$D$985, D10)</f>
        <v/>
      </c>
    </row>
    <row r="11" ht="16.5" customHeight="1" s="49">
      <c r="A11" s="42" t="n"/>
      <c r="B11" s="42" t="n"/>
      <c r="C11" s="42" t="n"/>
      <c r="D11" s="43" t="inlineStr">
        <is>
          <t>AP591_TC_006</t>
        </is>
      </c>
      <c r="E11" s="3" t="inlineStr">
        <is>
          <t>여러 조건을 조합하여 검색한다.</t>
        </is>
      </c>
      <c r="F11" s="4" t="inlineStr">
        <is>
          <t>① 예방작업번호 + 설비  ② 예방작업번호 + 점검작업상태 를 함께 입력 후 검색</t>
        </is>
      </c>
      <c r="G11" s="3" t="inlineStr">
        <is>
          <t>모든 조건을 동시에 만족하는 점검작업만 표시됨</t>
        </is>
      </c>
      <c r="H11" s="10">
        <f t="array" ref="H11">INDEX('Dev 조치사항'!$H$6:$H$985, MATCH(1, ('Dev 조치사항'!$D$6:$D$985=D11)*('Dev 조치사항'!$K$6:$K$985=_xlfn.MAXIFS('Dev 조치사항'!$K$6:$K$985, 'Dev 조치사항'!$D$6:$D$985, D11)), 0))</f>
        <v/>
      </c>
      <c r="I11" s="11">
        <f t="array" ref="I11">INDEX('Dev 조치사항'!$I$6:$I$985, MATCH(1, ('Dev 조치사항'!$D$6:$D$985=D11)*('Dev 조치사항'!$K$6:$K$985=_xlfn.MAXIFS('Dev 조치사항'!$K$6:$K$985, 'Dev 조치사항'!$D$6:$D$985, D11)), 0))</f>
        <v/>
      </c>
      <c r="J11" s="16">
        <f t="array" ref="J11">IF(
  INDEX('Dev 조치사항'!$J$6:$J$985,
    MATCH(1,
      ('Dev 조치사항'!$D$6:$D$985=D11)*
      ('Dev 조치사항'!$K$6:$K$985=_xlfn.MAXIFS('Dev 조치사항'!$K$6:$K$985, 'Dev 조치사항'!$D$6:$D$985, D11)),
    0)
  ) = "",
  "-",
  INDEX('Dev 조치사항'!$J$6:$J$985,
    MATCH(1,
      ('Dev 조치사항'!$D$6:$D$985=D11)*
      ('Dev 조치사항'!$K$6:$K$985=_xlfn.MAXIFS('Dev 조치사항'!$K$6:$K$985, 'Dev 조치사항'!$D$6:$D$985, D11)),
    0)
  )
)</f>
        <v/>
      </c>
      <c r="K11" s="31">
        <f>_xlfn.MAXIFS('Dev 조치사항'!$K$6:$K$985, 'Dev 조치사항'!$D$6:$D$985, D11)</f>
        <v/>
      </c>
    </row>
    <row r="12" ht="16.5" customHeight="1" s="49">
      <c r="A12" s="42" t="n"/>
      <c r="B12" s="42" t="n"/>
      <c r="C12" s="42" t="n"/>
      <c r="D12" s="43" t="inlineStr">
        <is>
          <t>AP591_TC_007</t>
        </is>
      </c>
      <c r="E12" s="3" t="inlineStr">
        <is>
          <t>정기점검실행 전체를 검색한다.</t>
        </is>
      </c>
      <c r="F12" s="4" t="inlineStr">
        <is>
          <t>기간(년월, 일정조정 일자)을 뺀 검색 필드 값을 모두 지운 뒤 검색 버튼 클릭</t>
        </is>
      </c>
      <c r="G12" s="3" t="inlineStr">
        <is>
          <t>그 기간에 등록된 전체 점검작업이 표시되고 Total n/n 이 전체 건수와 일치함</t>
        </is>
      </c>
      <c r="H12" s="10">
        <f t="array" ref="H12">INDEX('Dev 조치사항'!$H$6:$H$985, MATCH(1, ('Dev 조치사항'!$D$6:$D$985=D12)*('Dev 조치사항'!$K$6:$K$985=_xlfn.MAXIFS('Dev 조치사항'!$K$6:$K$985, 'Dev 조치사항'!$D$6:$D$985, D12)), 0))</f>
        <v/>
      </c>
      <c r="I12" s="11">
        <f t="array" ref="I12">INDEX('Dev 조치사항'!$I$6:$I$985, MATCH(1, ('Dev 조치사항'!$D$6:$D$985=D12)*('Dev 조치사항'!$K$6:$K$985=_xlfn.MAXIFS('Dev 조치사항'!$K$6:$K$985, 'Dev 조치사항'!$D$6:$D$985, D12)), 0))</f>
        <v/>
      </c>
      <c r="J12" s="16">
        <f t="array" ref="J12">IF(
  INDEX('Dev 조치사항'!$J$6:$J$985,
    MATCH(1,
      ('Dev 조치사항'!$D$6:$D$985=D12)*
      ('Dev 조치사항'!$K$6:$K$985=_xlfn.MAXIFS('Dev 조치사항'!$K$6:$K$985, 'Dev 조치사항'!$D$6:$D$985, D12)),
    0)
  ) = "",
  "-",
  INDEX('Dev 조치사항'!$J$6:$J$985,
    MATCH(1,
      ('Dev 조치사항'!$D$6:$D$985=D12)*
      ('Dev 조치사항'!$K$6:$K$985=_xlfn.MAXIFS('Dev 조치사항'!$K$6:$K$985, 'Dev 조치사항'!$D$6:$D$985, D12)),
    0)
  )
)</f>
        <v/>
      </c>
      <c r="K12" s="31">
        <f>_xlfn.MAXIFS('Dev 조치사항'!$K$6:$K$985, 'Dev 조치사항'!$D$6:$D$985, D12)</f>
        <v/>
      </c>
    </row>
    <row r="13" ht="16.5" customHeight="1" s="49">
      <c r="A13" s="42" t="n"/>
      <c r="B13" s="44" t="n"/>
      <c r="C13" s="44" t="n"/>
      <c r="D13" s="43" t="inlineStr">
        <is>
          <t>AP591_TC_008</t>
        </is>
      </c>
      <c r="E13" s="3" t="inlineStr">
        <is>
          <t>검색 결과가 없는 조건으로 검색한다.</t>
        </is>
      </c>
      <c r="F13" s="4" t="inlineStr">
        <is>
          <t>존재하지 않는 예방작업번호 입력 후 검색</t>
        </is>
      </c>
      <c r="G13" s="3" t="inlineStr">
        <is>
          <t>목록이 비어 있고 Total 0/0 표시, 오류 팝업 없음</t>
        </is>
      </c>
      <c r="H13" s="10">
        <f t="array" ref="H13">INDEX('Dev 조치사항'!$H$6:$H$985, MATCH(1, ('Dev 조치사항'!$D$6:$D$985=D13)*('Dev 조치사항'!$K$6:$K$985=_xlfn.MAXIFS('Dev 조치사항'!$K$6:$K$985, 'Dev 조치사항'!$D$6:$D$985, D13)), 0))</f>
        <v/>
      </c>
      <c r="I13" s="11">
        <f t="array" ref="I13">INDEX('Dev 조치사항'!$I$6:$I$985, MATCH(1, ('Dev 조치사항'!$D$6:$D$985=D13)*('Dev 조치사항'!$K$6:$K$985=_xlfn.MAXIFS('Dev 조치사항'!$K$6:$K$985, 'Dev 조치사항'!$D$6:$D$985, D13)), 0))</f>
        <v/>
      </c>
      <c r="J13" s="16">
        <f t="array" ref="J13">IF(
  INDEX('Dev 조치사항'!$J$6:$J$985,
    MATCH(1,
      ('Dev 조치사항'!$D$6:$D$985=D13)*
      ('Dev 조치사항'!$K$6:$K$985=_xlfn.MAXIFS('Dev 조치사항'!$K$6:$K$985, 'Dev 조치사항'!$D$6:$D$985, D13)),
    0)
  ) = "",
  "-",
  INDEX('Dev 조치사항'!$J$6:$J$985,
    MATCH(1,
      ('Dev 조치사항'!$D$6:$D$985=D13)*
      ('Dev 조치사항'!$K$6:$K$985=_xlfn.MAXIFS('Dev 조치사항'!$K$6:$K$985, 'Dev 조치사항'!$D$6:$D$985, D13)),
    0)
  )
)</f>
        <v/>
      </c>
      <c r="K13" s="31">
        <f>_xlfn.MAXIFS('Dev 조치사항'!$K$6:$K$985, 'Dev 조치사항'!$D$6:$D$985, D13)</f>
        <v/>
      </c>
    </row>
    <row r="14" ht="16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AP591_TC_009</t>
        </is>
      </c>
      <c r="E14" s="3" t="inlineStr">
        <is>
          <t>월간 카렌다의 일별 건수를 확인한다.</t>
        </is>
      </c>
      <c r="F14" s="4" t="inlineStr">
        <is>
          <t>이번 달로 검색 → 날짜마다 T / P / C 숫자를 목록(조건)과 비교</t>
        </is>
      </c>
      <c r="G14" s="3" t="inlineStr">
        <is>
          <t>날짜별 T(작업대상) = 그날 점검작업 전체, P(작업미완료) = 작업발행, C(작업완료) = 작업완료 수와 일치함</t>
        </is>
      </c>
      <c r="H14" s="10">
        <f t="array" ref="H14">INDEX('Dev 조치사항'!$H$6:$H$985, MATCH(1, ('Dev 조치사항'!$D$6:$D$985=D14)*('Dev 조치사항'!$K$6:$K$985=_xlfn.MAXIFS('Dev 조치사항'!$K$6:$K$985, 'Dev 조치사항'!$D$6:$D$985, D14)), 0))</f>
        <v/>
      </c>
      <c r="I14" s="11">
        <f t="array" ref="I14">INDEX('Dev 조치사항'!$I$6:$I$985, MATCH(1, ('Dev 조치사항'!$D$6:$D$985=D14)*('Dev 조치사항'!$K$6:$K$985=_xlfn.MAXIFS('Dev 조치사항'!$K$6:$K$985, 'Dev 조치사항'!$D$6:$D$985, D14)), 0))</f>
        <v/>
      </c>
      <c r="J14" s="16">
        <f t="array" ref="J14">IF(
  INDEX('Dev 조치사항'!$J$6:$J$985,
    MATCH(1,
      ('Dev 조치사항'!$D$6:$D$985=D14)*
      ('Dev 조치사항'!$K$6:$K$985=_xlfn.MAXIFS('Dev 조치사항'!$K$6:$K$985, 'Dev 조치사항'!$D$6:$D$985, D14)),
    0)
  ) = "",
  "-",
  INDEX('Dev 조치사항'!$J$6:$J$985,
    MATCH(1,
      ('Dev 조치사항'!$D$6:$D$985=D14)*
      ('Dev 조치사항'!$K$6:$K$985=_xlfn.MAXIFS('Dev 조치사항'!$K$6:$K$985, 'Dev 조치사항'!$D$6:$D$985, D14)),
    0)
  )
)</f>
        <v/>
      </c>
      <c r="K14" s="31">
        <f>_xlfn.MAXIFS('Dev 조치사항'!$K$6:$K$985, 'Dev 조치사항'!$D$6:$D$985, D14)</f>
        <v/>
      </c>
    </row>
    <row r="15" ht="16.5" customHeight="1" s="49">
      <c r="A15" s="42" t="n"/>
      <c r="B15" s="44" t="n"/>
      <c r="C15" s="44" t="n"/>
      <c r="D15" s="43" t="inlineStr">
        <is>
          <t>AP591_TC_010</t>
        </is>
      </c>
      <c r="E15" s="3" t="inlineStr">
        <is>
          <t>카렌다 숫자를 눌러 목록을 조회한다.</t>
        </is>
      </c>
      <c r="F15" s="4" t="inlineStr">
        <is>
          <t>날짜 칸의 T, P, C 숫자를 각각 클릭</t>
        </is>
      </c>
      <c r="G15" s="3" t="inlineStr">
        <is>
          <t>아래 목록에 그날의 점검작업이 표시되고 행 수가 누른 숫자와 같음 (P 는 작업미완료, C 는 작업완료만)</t>
        </is>
      </c>
      <c r="H15" s="10">
        <f t="array" ref="H15">INDEX('Dev 조치사항'!$H$6:$H$985, MATCH(1, ('Dev 조치사항'!$D$6:$D$985=D15)*('Dev 조치사항'!$K$6:$K$985=_xlfn.MAXIFS('Dev 조치사항'!$K$6:$K$985, 'Dev 조치사항'!$D$6:$D$985, D15)), 0))</f>
        <v/>
      </c>
      <c r="I15" s="11">
        <f t="array" ref="I15">INDEX('Dev 조치사항'!$I$6:$I$985, MATCH(1, ('Dev 조치사항'!$D$6:$D$985=D15)*('Dev 조치사항'!$K$6:$K$985=_xlfn.MAXIFS('Dev 조치사항'!$K$6:$K$985, 'Dev 조치사항'!$D$6:$D$985, D15)), 0))</f>
        <v/>
      </c>
      <c r="J15" s="16">
        <f t="array" ref="J15">IF(
  INDEX('Dev 조치사항'!$J$6:$J$985,
    MATCH(1,
      ('Dev 조치사항'!$D$6:$D$985=D15)*
      ('Dev 조치사항'!$K$6:$K$985=_xlfn.MAXIFS('Dev 조치사항'!$K$6:$K$985, 'Dev 조치사항'!$D$6:$D$985, D15)),
    0)
  ) = "",
  "-",
  INDEX('Dev 조치사항'!$J$6:$J$985,
    MATCH(1,
      ('Dev 조치사항'!$D$6:$D$985=D15)*
      ('Dev 조치사항'!$K$6:$K$985=_xlfn.MAXIFS('Dev 조치사항'!$K$6:$K$985, 'Dev 조치사항'!$D$6:$D$985, D15)),
    0)
  )
)</f>
        <v/>
      </c>
      <c r="K15" s="31">
        <f>_xlfn.MAXIFS('Dev 조치사항'!$K$6:$K$985, 'Dev 조치사항'!$D$6:$D$985, D15)</f>
        <v/>
      </c>
    </row>
    <row r="16" ht="16.5" customHeight="1" s="49">
      <c r="A16" s="42" t="n"/>
      <c r="B16" s="43" t="inlineStr">
        <is>
          <t>카렌다(월간), 목록(조건)</t>
        </is>
      </c>
      <c r="C16" s="43" t="inlineStr">
        <is>
          <t>조회</t>
        </is>
      </c>
      <c r="D16" s="43" t="inlineStr">
        <is>
          <t>AP591_TC_011</t>
        </is>
      </c>
      <c r="E16" s="3" t="inlineStr">
        <is>
          <t>조회된 목록을 정렬한다.</t>
        </is>
      </c>
      <c r="F16" s="4" t="inlineStr">
        <is>
          <t>목록 그리드 헤더(점검일자, 점검명) 클릭 2회</t>
        </is>
      </c>
      <c r="G16" s="3" t="inlineStr">
        <is>
          <t>선택한 열 기준으로 오름차순 → 내림차순 정렬됨</t>
        </is>
      </c>
      <c r="H16" s="10">
        <f t="array" ref="H16">INDEX('Dev 조치사항'!$H$6:$H$985, MATCH(1, ('Dev 조치사항'!$D$6:$D$985=D16)*('Dev 조치사항'!$K$6:$K$985=_xlfn.MAXIFS('Dev 조치사항'!$K$6:$K$985, 'Dev 조치사항'!$D$6:$D$985, D16)), 0))</f>
        <v/>
      </c>
      <c r="I16" s="11">
        <f t="array" ref="I16">INDEX('Dev 조치사항'!$I$6:$I$985, MATCH(1, ('Dev 조치사항'!$D$6:$D$985=D16)*('Dev 조치사항'!$K$6:$K$985=_xlfn.MAXIFS('Dev 조치사항'!$K$6:$K$985, 'Dev 조치사항'!$D$6:$D$985, D16)), 0))</f>
        <v/>
      </c>
      <c r="J16" s="16">
        <f t="array" ref="J16">IF(
  INDEX('Dev 조치사항'!$J$6:$J$985,
    MATCH(1,
      ('Dev 조치사항'!$D$6:$D$985=D16)*
      ('Dev 조치사항'!$K$6:$K$985=_xlfn.MAXIFS('Dev 조치사항'!$K$6:$K$985, 'Dev 조치사항'!$D$6:$D$985, D16)),
    0)
  ) = "",
  "-",
  INDEX('Dev 조치사항'!$J$6:$J$985,
    MATCH(1,
      ('Dev 조치사항'!$D$6:$D$985=D16)*
      ('Dev 조치사항'!$K$6:$K$985=_xlfn.MAXIFS('Dev 조치사항'!$K$6:$K$985, 'Dev 조치사항'!$D$6:$D$985, D16)),
    0)
  )
)</f>
        <v/>
      </c>
      <c r="K16" s="31">
        <f>_xlfn.MAXIFS('Dev 조치사항'!$K$6:$K$985, 'Dev 조치사항'!$D$6:$D$985, D16)</f>
        <v/>
      </c>
    </row>
    <row r="17" ht="16.5" customHeight="1" s="49">
      <c r="A17" s="42" t="n"/>
      <c r="B17" s="42" t="n"/>
      <c r="C17" s="42" t="n"/>
      <c r="D17" s="43" t="inlineStr">
        <is>
          <t>AP591_TC_012</t>
        </is>
      </c>
      <c r="E17" s="3" t="inlineStr">
        <is>
          <t>목록 건수 표시를 확인한다.</t>
        </is>
      </c>
      <c r="F17" s="4" t="inlineStr">
        <is>
          <t>전체 검색 후 목록을 끝까지 스크롤</t>
        </is>
      </c>
      <c r="G17" s="3" t="inlineStr">
        <is>
          <t>Total a/b 에서 a 는 화면에 불러온 건수, b 는 전체 건수이며 끝까지 불러오면 a = b</t>
        </is>
      </c>
      <c r="H17" s="10">
        <f t="array" ref="H17">INDEX('Dev 조치사항'!$H$6:$H$985, MATCH(1, ('Dev 조치사항'!$D$6:$D$985=D17)*('Dev 조치사항'!$K$6:$K$985=_xlfn.MAXIFS('Dev 조치사항'!$K$6:$K$985, 'Dev 조치사항'!$D$6:$D$985, D17)), 0))</f>
        <v/>
      </c>
      <c r="I17" s="11">
        <f t="array" ref="I17">INDEX('Dev 조치사항'!$I$6:$I$985, MATCH(1, ('Dev 조치사항'!$D$6:$D$985=D17)*('Dev 조치사항'!$K$6:$K$985=_xlfn.MAXIFS('Dev 조치사항'!$K$6:$K$985, 'Dev 조치사항'!$D$6:$D$985, D17)), 0))</f>
        <v/>
      </c>
      <c r="J17" s="16">
        <f t="array" ref="J17">IF(
  INDEX('Dev 조치사항'!$J$6:$J$985,
    MATCH(1,
      ('Dev 조치사항'!$D$6:$D$985=D17)*
      ('Dev 조치사항'!$K$6:$K$985=_xlfn.MAXIFS('Dev 조치사항'!$K$6:$K$985, 'Dev 조치사항'!$D$6:$D$985, D17)),
    0)
  ) = "",
  "-",
  INDEX('Dev 조치사항'!$J$6:$J$985,
    MATCH(1,
      ('Dev 조치사항'!$D$6:$D$985=D17)*
      ('Dev 조치사항'!$K$6:$K$985=_xlfn.MAXIFS('Dev 조치사항'!$K$6:$K$985, 'Dev 조치사항'!$D$6:$D$985, D17)),
    0)
  )
)</f>
        <v/>
      </c>
      <c r="K17" s="31">
        <f>_xlfn.MAXIFS('Dev 조치사항'!$K$6:$K$985, 'Dev 조치사항'!$D$6:$D$985, D17)</f>
        <v/>
      </c>
    </row>
    <row r="18" ht="16.5" customHeight="1" s="49">
      <c r="A18" s="42" t="n"/>
      <c r="B18" s="42" t="n"/>
      <c r="C18" s="42" t="n"/>
      <c r="D18" s="43" t="inlineStr">
        <is>
          <t>AP591_TC_013</t>
        </is>
      </c>
      <c r="E18" s="3" t="inlineStr">
        <is>
          <t>(행 클릭) 조회된 데이터의 상세정보를 조회한다.</t>
        </is>
      </c>
      <c r="F18" s="4" t="inlineStr">
        <is>
          <t>목록 행 클릭</t>
        </is>
      </c>
      <c r="G18" s="3" t="inlineStr">
        <is>
          <t>목록 하단에 점검작업 상세(정기점검실행 : 점검작업# / 점검명)가 열리고 점검작업#, 일정상태, 설비, 점검명, 점검일자 등과 하위 탭(점검항목, 표준작업, 첨부문서)이 표시됨</t>
        </is>
      </c>
      <c r="H18" s="10">
        <f t="array" ref="H18">INDEX('Dev 조치사항'!$H$6:$H$985, MATCH(1, ('Dev 조치사항'!$D$6:$D$985=D18)*('Dev 조치사항'!$K$6:$K$985=_xlfn.MAXIFS('Dev 조치사항'!$K$6:$K$985, 'Dev 조치사항'!$D$6:$D$985, D18)), 0))</f>
        <v/>
      </c>
      <c r="I18" s="11">
        <f t="array" ref="I18">INDEX('Dev 조치사항'!$I$6:$I$985, MATCH(1, ('Dev 조치사항'!$D$6:$D$985=D18)*('Dev 조치사항'!$K$6:$K$985=_xlfn.MAXIFS('Dev 조치사항'!$K$6:$K$985, 'Dev 조치사항'!$D$6:$D$985, D18)), 0))</f>
        <v/>
      </c>
      <c r="J18" s="16">
        <f t="array" ref="J18">IF(
  INDEX('Dev 조치사항'!$J$6:$J$985,
    MATCH(1,
      ('Dev 조치사항'!$D$6:$D$985=D18)*
      ('Dev 조치사항'!$K$6:$K$985=_xlfn.MAXIFS('Dev 조치사항'!$K$6:$K$985, 'Dev 조치사항'!$D$6:$D$985, D18)),
    0)
  ) = "",
  "-",
  INDEX('Dev 조치사항'!$J$6:$J$985,
    MATCH(1,
      ('Dev 조치사항'!$D$6:$D$985=D18)*
      ('Dev 조치사항'!$K$6:$K$985=_xlfn.MAXIFS('Dev 조치사항'!$K$6:$K$985, 'Dev 조치사항'!$D$6:$D$985, D18)),
    0)
  )
)</f>
        <v/>
      </c>
      <c r="K18" s="31">
        <f>_xlfn.MAXIFS('Dev 조치사항'!$K$6:$K$985, 'Dev 조치사항'!$D$6:$D$985, D18)</f>
        <v/>
      </c>
    </row>
    <row r="19" ht="16.5" customHeight="1" s="49">
      <c r="A19" s="42" t="n"/>
      <c r="B19" s="42" t="n"/>
      <c r="C19" s="42" t="n"/>
      <c r="D19" s="43" t="inlineStr">
        <is>
          <t>AP591_TC_014</t>
        </is>
      </c>
      <c r="E19" s="3" t="inlineStr">
        <is>
          <t>(상세보기 버튼 클릭) 조회된 데이터의 상세정보를 조회한다.</t>
        </is>
      </c>
      <c r="F19" s="4" t="inlineStr">
        <is>
          <t>목록 행 클릭 후 상세보기 버튼 클릭</t>
        </is>
      </c>
      <c r="G19" s="3" t="inlineStr">
        <is>
          <t>선택한 점검작업 상세가 팝업(새 창)으로 열리고 하단 상세와 내용이 같음</t>
        </is>
      </c>
      <c r="H19" s="10">
        <f t="array" ref="H19">INDEX('Dev 조치사항'!$H$6:$H$985, MATCH(1, ('Dev 조치사항'!$D$6:$D$985=D19)*('Dev 조치사항'!$K$6:$K$985=_xlfn.MAXIFS('Dev 조치사항'!$K$6:$K$985, 'Dev 조치사항'!$D$6:$D$985, D19)), 0))</f>
        <v/>
      </c>
      <c r="I19" s="11">
        <f t="array" ref="I19">INDEX('Dev 조치사항'!$I$6:$I$985, MATCH(1, ('Dev 조치사항'!$D$6:$D$985=D19)*('Dev 조치사항'!$K$6:$K$985=_xlfn.MAXIFS('Dev 조치사항'!$K$6:$K$985, 'Dev 조치사항'!$D$6:$D$985, D19)), 0))</f>
        <v/>
      </c>
      <c r="J19" s="16">
        <f t="array" ref="J19">IF(
  INDEX('Dev 조치사항'!$J$6:$J$985,
    MATCH(1,
      ('Dev 조치사항'!$D$6:$D$985=D19)*
      ('Dev 조치사항'!$K$6:$K$985=_xlfn.MAXIFS('Dev 조치사항'!$K$6:$K$985, 'Dev 조치사항'!$D$6:$D$985, D19)),
    0)
  ) = "",
  "-",
  INDEX('Dev 조치사항'!$J$6:$J$985,
    MATCH(1,
      ('Dev 조치사항'!$D$6:$D$985=D19)*
      ('Dev 조치사항'!$K$6:$K$985=_xlfn.MAXIFS('Dev 조치사항'!$K$6:$K$985, 'Dev 조치사항'!$D$6:$D$985, D19)),
    0)
  )
)</f>
        <v/>
      </c>
      <c r="K19" s="31">
        <f>_xlfn.MAXIFS('Dev 조치사항'!$K$6:$K$985, 'Dev 조치사항'!$D$6:$D$985, D19)</f>
        <v/>
      </c>
    </row>
    <row r="20" ht="16.5" customHeight="1" s="49">
      <c r="A20" s="42" t="n"/>
      <c r="B20" s="42" t="n"/>
      <c r="C20" s="42" t="n"/>
      <c r="D20" s="43" t="inlineStr">
        <is>
          <t>AP591_TC_015</t>
        </is>
      </c>
      <c r="E20" s="3" t="inlineStr">
        <is>
          <t>목록과 상세의 값이 일치하는지 확인한다.</t>
        </is>
      </c>
      <c r="F20" s="4" t="inlineStr">
        <is>
          <t>목록 한 행의 점검일자, 점검명, 설비명, 부서, 담당자, 점검작업상태, 점검시작·종료, 비고를 상세 값과 비교</t>
        </is>
      </c>
      <c r="G20" s="3" t="inlineStr">
        <is>
          <t>목록과 상세의 값이 모두 같음</t>
        </is>
      </c>
      <c r="H20" s="10">
        <f t="array" ref="H20">INDEX('Dev 조치사항'!$H$6:$H$985, MATCH(1, ('Dev 조치사항'!$D$6:$D$985=D20)*('Dev 조치사항'!$K$6:$K$985=_xlfn.MAXIFS('Dev 조치사항'!$K$6:$K$985, 'Dev 조치사항'!$D$6:$D$985, D20)), 0))</f>
        <v/>
      </c>
      <c r="I20" s="11">
        <f t="array" ref="I20">INDEX('Dev 조치사항'!$I$6:$I$985, MATCH(1, ('Dev 조치사항'!$D$6:$D$985=D20)*('Dev 조치사항'!$K$6:$K$985=_xlfn.MAXIFS('Dev 조치사항'!$K$6:$K$985, 'Dev 조치사항'!$D$6:$D$985, D20)), 0))</f>
        <v/>
      </c>
      <c r="J20" s="16">
        <f t="array" ref="J20">IF(
  INDEX('Dev 조치사항'!$J$6:$J$985,
    MATCH(1,
      ('Dev 조치사항'!$D$6:$D$985=D20)*
      ('Dev 조치사항'!$K$6:$K$985=_xlfn.MAXIFS('Dev 조치사항'!$K$6:$K$985, 'Dev 조치사항'!$D$6:$D$985, D20)),
    0)
  ) = "",
  "-",
  INDEX('Dev 조치사항'!$J$6:$J$985,
    MATCH(1,
      ('Dev 조치사항'!$D$6:$D$985=D20)*
      ('Dev 조치사항'!$K$6:$K$985=_xlfn.MAXIFS('Dev 조치사항'!$K$6:$K$985, 'Dev 조치사항'!$D$6:$D$985, D20)),
    0)
  )
)</f>
        <v/>
      </c>
      <c r="K20" s="31">
        <f>_xlfn.MAXIFS('Dev 조치사항'!$K$6:$K$985, 'Dev 조치사항'!$D$6:$D$985, D20)</f>
        <v/>
      </c>
    </row>
    <row r="21" ht="16.5" customHeight="1" s="49">
      <c r="A21" s="42" t="n"/>
      <c r="B21" s="42" t="n"/>
      <c r="C21" s="42" t="n"/>
      <c r="D21" s="43" t="inlineStr">
        <is>
          <t>AP591_TC_016</t>
        </is>
      </c>
      <c r="E21" s="3" t="inlineStr">
        <is>
          <t>(목록) 데이터 표시 형식을 확인한다.</t>
        </is>
      </c>
      <c r="F21" s="4" t="inlineStr">
        <is>
          <t>탭마다 목록의 숫자, 날짜, 시간, 코드 열 확인</t>
        </is>
      </c>
      <c r="G21" s="3" t="inlineStr">
        <is>
          <t>날짜(점검일자, 점검시작·종료일자): yyyy-mm-dd / 시간: hh:mm / 숫자(점검시간[분]): 오른쪽 정렬 / 코드(작업형태, 점검작업상태, 교대조): 코드명 / 수정·생성시간: 날짜 시간 형식</t>
        </is>
      </c>
      <c r="H21" s="10">
        <f t="array" ref="H21">INDEX('Dev 조치사항'!$H$6:$H$985, MATCH(1, ('Dev 조치사항'!$D$6:$D$985=D21)*('Dev 조치사항'!$K$6:$K$985=_xlfn.MAXIFS('Dev 조치사항'!$K$6:$K$985, 'Dev 조치사항'!$D$6:$D$985, D21)), 0))</f>
        <v/>
      </c>
      <c r="I21" s="11">
        <f t="array" ref="I21">INDEX('Dev 조치사항'!$I$6:$I$985, MATCH(1, ('Dev 조치사항'!$D$6:$D$985=D21)*('Dev 조치사항'!$K$6:$K$985=_xlfn.MAXIFS('Dev 조치사항'!$K$6:$K$985, 'Dev 조치사항'!$D$6:$D$985, D21)), 0))</f>
        <v/>
      </c>
      <c r="J21" s="16">
        <f t="array" ref="J21">IF(
  INDEX('Dev 조치사항'!$J$6:$J$985,
    MATCH(1,
      ('Dev 조치사항'!$D$6:$D$985=D21)*
      ('Dev 조치사항'!$K$6:$K$985=_xlfn.MAXIFS('Dev 조치사항'!$K$6:$K$985, 'Dev 조치사항'!$D$6:$D$985, D21)),
    0)
  ) = "",
  "-",
  INDEX('Dev 조치사항'!$J$6:$J$985,
    MATCH(1,
      ('Dev 조치사항'!$D$6:$D$985=D21)*
      ('Dev 조치사항'!$K$6:$K$985=_xlfn.MAXIFS('Dev 조치사항'!$K$6:$K$985, 'Dev 조치사항'!$D$6:$D$985, D21)),
    0)
  )
)</f>
        <v/>
      </c>
      <c r="K21" s="31">
        <f>_xlfn.MAXIFS('Dev 조치사항'!$K$6:$K$985, 'Dev 조치사항'!$D$6:$D$985, D21)</f>
        <v/>
      </c>
    </row>
    <row r="22" ht="16.5" customHeight="1" s="49">
      <c r="A22" s="42" t="n"/>
      <c r="B22" s="42" t="n"/>
      <c r="C22" s="42" t="n"/>
      <c r="D22" s="43" t="inlineStr">
        <is>
          <t>AP591_TC_017</t>
        </is>
      </c>
      <c r="E22" s="3" t="inlineStr">
        <is>
          <t>(상세) 데이터 표시 형식을 확인한다.</t>
        </is>
      </c>
      <c r="F22" s="4" t="inlineStr">
        <is>
          <t>점검작업 상세의 날짜, 시간, 숫자 필드 확인</t>
        </is>
      </c>
      <c r="G22" s="3" t="inlineStr">
        <is>
          <t>날짜는 yyyy-mm-dd, 시간은 hh:mm, 점검시간[분]은 오른쪽 정렬</t>
        </is>
      </c>
      <c r="H22" s="10">
        <f t="array" ref="H22">INDEX('Dev 조치사항'!$H$6:$H$985, MATCH(1, ('Dev 조치사항'!$D$6:$D$985=D22)*('Dev 조치사항'!$K$6:$K$985=_xlfn.MAXIFS('Dev 조치사항'!$K$6:$K$985, 'Dev 조치사항'!$D$6:$D$985, D22)), 0))</f>
        <v/>
      </c>
      <c r="I22" s="11">
        <f t="array" ref="I22">INDEX('Dev 조치사항'!$I$6:$I$985, MATCH(1, ('Dev 조치사항'!$D$6:$D$985=D22)*('Dev 조치사항'!$K$6:$K$985=_xlfn.MAXIFS('Dev 조치사항'!$K$6:$K$985, 'Dev 조치사항'!$D$6:$D$985, D22)), 0))</f>
        <v/>
      </c>
      <c r="J22" s="16">
        <f t="array" ref="J22">IF(
  INDEX('Dev 조치사항'!$J$6:$J$985,
    MATCH(1,
      ('Dev 조치사항'!$D$6:$D$985=D22)*
      ('Dev 조치사항'!$K$6:$K$985=_xlfn.MAXIFS('Dev 조치사항'!$K$6:$K$985, 'Dev 조치사항'!$D$6:$D$985, D22)),
    0)
  ) = "",
  "-",
  INDEX('Dev 조치사항'!$J$6:$J$985,
    MATCH(1,
      ('Dev 조치사항'!$D$6:$D$985=D22)*
      ('Dev 조치사항'!$K$6:$K$985=_xlfn.MAXIFS('Dev 조치사항'!$K$6:$K$985, 'Dev 조치사항'!$D$6:$D$985, D22)),
    0)
  )
)</f>
        <v/>
      </c>
      <c r="K22" s="31">
        <f>_xlfn.MAXIFS('Dev 조치사항'!$K$6:$K$985, 'Dev 조치사항'!$D$6:$D$985, D22)</f>
        <v/>
      </c>
    </row>
    <row r="23" ht="16.5" customHeight="1" s="49">
      <c r="A23" s="42" t="n"/>
      <c r="B23" s="42" t="n"/>
      <c r="C23" s="44" t="n"/>
      <c r="D23" s="43" t="inlineStr">
        <is>
          <t>AP591_TC_018</t>
        </is>
      </c>
      <c r="E23" s="3" t="inlineStr">
        <is>
          <t>읽기전용 필드를 확인한다.</t>
        </is>
      </c>
      <c r="F23" s="4" t="inlineStr">
        <is>
          <t>점검작업 상세의 점검작업#, 일정상태, 작업종류, 작업형태, 설비, 설비위치, 점검시간[분] 입력 시도</t>
        </is>
      </c>
      <c r="G23" s="3" t="inlineStr">
        <is>
          <t>회색으로 표시되고 값을 수정할 수 없음</t>
        </is>
      </c>
      <c r="H23" s="10">
        <f t="array" ref="H23">INDEX('Dev 조치사항'!$H$6:$H$985, MATCH(1, ('Dev 조치사항'!$D$6:$D$985=D23)*('Dev 조치사항'!$K$6:$K$985=_xlfn.MAXIFS('Dev 조치사항'!$K$6:$K$985, 'Dev 조치사항'!$D$6:$D$985, D23)), 0))</f>
        <v/>
      </c>
      <c r="I23" s="11">
        <f t="array" ref="I23">INDEX('Dev 조치사항'!$I$6:$I$985, MATCH(1, ('Dev 조치사항'!$D$6:$D$985=D23)*('Dev 조치사항'!$K$6:$K$985=_xlfn.MAXIFS('Dev 조치사항'!$K$6:$K$985, 'Dev 조치사항'!$D$6:$D$985, D23)), 0))</f>
        <v/>
      </c>
      <c r="J23" s="16">
        <f t="array" ref="J23">IF(
  INDEX('Dev 조치사항'!$J$6:$J$985,
    MATCH(1,
      ('Dev 조치사항'!$D$6:$D$985=D23)*
      ('Dev 조치사항'!$K$6:$K$985=_xlfn.MAXIFS('Dev 조치사항'!$K$6:$K$985, 'Dev 조치사항'!$D$6:$D$985, D23)),
    0)
  ) = "",
  "-",
  INDEX('Dev 조치사항'!$J$6:$J$985,
    MATCH(1,
      ('Dev 조치사항'!$D$6:$D$985=D23)*
      ('Dev 조치사항'!$K$6:$K$985=_xlfn.MAXIFS('Dev 조치사항'!$K$6:$K$985, 'Dev 조치사항'!$D$6:$D$985, D23)),
    0)
  )
)</f>
        <v/>
      </c>
      <c r="K23" s="31">
        <f>_xlfn.MAXIFS('Dev 조치사항'!$K$6:$K$985, 'Dev 조치사항'!$D$6:$D$985, D23)</f>
        <v/>
      </c>
    </row>
    <row r="24" ht="16.5" customHeight="1" s="49">
      <c r="A24" s="42" t="n"/>
      <c r="B24" s="42" t="n"/>
      <c r="C24" s="43" t="inlineStr">
        <is>
          <t>닫기</t>
        </is>
      </c>
      <c r="D24" s="43" t="inlineStr">
        <is>
          <t>AP591_TC_019</t>
        </is>
      </c>
      <c r="E24" s="3" t="inlineStr">
        <is>
          <t>상세페이지를 닫는다.</t>
        </is>
      </c>
      <c r="F24" s="4" t="inlineStr">
        <is>
          <t>하단에 펼쳐진 상세의 닫기(ⓧ) 클릭</t>
        </is>
      </c>
      <c r="G24" s="3" t="inlineStr">
        <is>
          <t>상세가 닫히고 목록 화면만 남음</t>
        </is>
      </c>
      <c r="H24" s="10">
        <f t="array" ref="H24">INDEX('Dev 조치사항'!$H$6:$H$985, MATCH(1, ('Dev 조치사항'!$D$6:$D$985=D24)*('Dev 조치사항'!$K$6:$K$985=_xlfn.MAXIFS('Dev 조치사항'!$K$6:$K$985, 'Dev 조치사항'!$D$6:$D$985, D24)), 0))</f>
        <v/>
      </c>
      <c r="I24" s="11">
        <f t="array" ref="I24">INDEX('Dev 조치사항'!$I$6:$I$985, MATCH(1, ('Dev 조치사항'!$D$6:$D$985=D24)*('Dev 조치사항'!$K$6:$K$985=_xlfn.MAXIFS('Dev 조치사항'!$K$6:$K$985, 'Dev 조치사항'!$D$6:$D$985, D24)), 0))</f>
        <v/>
      </c>
      <c r="J24" s="16">
        <f t="array" ref="J24">IF(
  INDEX('Dev 조치사항'!$J$6:$J$985,
    MATCH(1,
      ('Dev 조치사항'!$D$6:$D$985=D24)*
      ('Dev 조치사항'!$K$6:$K$985=_xlfn.MAXIFS('Dev 조치사항'!$K$6:$K$985, 'Dev 조치사항'!$D$6:$D$985, D24)),
    0)
  ) = "",
  "-",
  INDEX('Dev 조치사항'!$J$6:$J$985,
    MATCH(1,
      ('Dev 조치사항'!$D$6:$D$985=D24)*
      ('Dev 조치사항'!$K$6:$K$985=_xlfn.MAXIFS('Dev 조치사항'!$K$6:$K$985, 'Dev 조치사항'!$D$6:$D$985, D24)),
    0)
  )
)</f>
        <v/>
      </c>
      <c r="K24" s="31">
        <f>_xlfn.MAXIFS('Dev 조치사항'!$K$6:$K$985, 'Dev 조치사항'!$D$6:$D$985, D24)</f>
        <v/>
      </c>
    </row>
    <row r="25" ht="16.5" customHeight="1" s="49">
      <c r="A25" s="42" t="n"/>
      <c r="B25" s="42" t="n"/>
      <c r="C25" s="44" t="n"/>
      <c r="D25" s="43" t="inlineStr">
        <is>
          <t>AP591_TC_020</t>
        </is>
      </c>
      <c r="E25" s="3" t="inlineStr">
        <is>
          <t>(팝업창) 상세페이지를 닫는다.</t>
        </is>
      </c>
      <c r="F25" s="4" t="inlineStr">
        <is>
          <t>상세보기로 연 팝업 창의 닫기 클릭</t>
        </is>
      </c>
      <c r="G25" s="3" t="inlineStr">
        <is>
          <t>팝업 창이 닫힘</t>
        </is>
      </c>
      <c r="H25" s="10">
        <f t="array" ref="H25">INDEX('Dev 조치사항'!$H$6:$H$985, MATCH(1, ('Dev 조치사항'!$D$6:$D$985=D25)*('Dev 조치사항'!$K$6:$K$985=_xlfn.MAXIFS('Dev 조치사항'!$K$6:$K$985, 'Dev 조치사항'!$D$6:$D$985, D25)), 0))</f>
        <v/>
      </c>
      <c r="I25" s="11">
        <f t="array" ref="I25">INDEX('Dev 조치사항'!$I$6:$I$985, MATCH(1, ('Dev 조치사항'!$D$6:$D$985=D25)*('Dev 조치사항'!$K$6:$K$985=_xlfn.MAXIFS('Dev 조치사항'!$K$6:$K$985, 'Dev 조치사항'!$D$6:$D$985, D25)), 0))</f>
        <v/>
      </c>
      <c r="J25" s="16">
        <f t="array" ref="J25">IF(
  INDEX('Dev 조치사항'!$J$6:$J$985,
    MATCH(1,
      ('Dev 조치사항'!$D$6:$D$985=D25)*
      ('Dev 조치사항'!$K$6:$K$985=_xlfn.MAXIFS('Dev 조치사항'!$K$6:$K$985, 'Dev 조치사항'!$D$6:$D$985, D25)),
    0)
  ) = "",
  "-",
  INDEX('Dev 조치사항'!$J$6:$J$985,
    MATCH(1,
      ('Dev 조치사항'!$D$6:$D$985=D25)*
      ('Dev 조치사항'!$K$6:$K$985=_xlfn.MAXIFS('Dev 조치사항'!$K$6:$K$985, 'Dev 조치사항'!$D$6:$D$985, D25)),
    0)
  )
)</f>
        <v/>
      </c>
      <c r="K25" s="31">
        <f>_xlfn.MAXIFS('Dev 조치사항'!$K$6:$K$985, 'Dev 조치사항'!$D$6:$D$985, D25)</f>
        <v/>
      </c>
    </row>
    <row r="26" ht="16.5" customHeight="1" s="49">
      <c r="A26" s="42" t="n"/>
      <c r="B26" s="42" t="n"/>
      <c r="C26" s="43" t="inlineStr">
        <is>
          <t>수정</t>
        </is>
      </c>
      <c r="D26" s="43" t="inlineStr">
        <is>
          <t>AP591_TC_021</t>
        </is>
      </c>
      <c r="E26" s="3" t="inlineStr">
        <is>
          <t>점검작업의 필수값과 그 외 값을 수정한다.</t>
        </is>
      </c>
      <c r="F26" s="4" t="inlineStr">
        <is>
          <t>작업발행 행 클릭 → 점검명, 점검시작·종료시간, 비고 변경 → 저장 → OK</t>
        </is>
      </c>
      <c r="G26" s="3" t="inlineStr">
        <is>
          <t>변경 내용이 저장되어 다시 열면 바뀐 값이 보이고 점검시간[분]이 계산됨, 목록에도 반영됨</t>
        </is>
      </c>
      <c r="H26" s="10">
        <f t="array" ref="H26">INDEX('Dev 조치사항'!$H$6:$H$985, MATCH(1, ('Dev 조치사항'!$D$6:$D$985=D26)*('Dev 조치사항'!$K$6:$K$985=_xlfn.MAXIFS('Dev 조치사항'!$K$6:$K$985, 'Dev 조치사항'!$D$6:$D$985, D26)), 0))</f>
        <v/>
      </c>
      <c r="I26" s="11">
        <f t="array" ref="I26">INDEX('Dev 조치사항'!$I$6:$I$985, MATCH(1, ('Dev 조치사항'!$D$6:$D$985=D26)*('Dev 조치사항'!$K$6:$K$985=_xlfn.MAXIFS('Dev 조치사항'!$K$6:$K$985, 'Dev 조치사항'!$D$6:$D$985, D26)), 0))</f>
        <v/>
      </c>
      <c r="J26" s="16">
        <f t="array" ref="J26">IF(
  INDEX('Dev 조치사항'!$J$6:$J$985,
    MATCH(1,
      ('Dev 조치사항'!$D$6:$D$985=D26)*
      ('Dev 조치사항'!$K$6:$K$985=_xlfn.MAXIFS('Dev 조치사항'!$K$6:$K$985, 'Dev 조치사항'!$D$6:$D$985, D26)),
    0)
  ) = "",
  "-",
  INDEX('Dev 조치사항'!$J$6:$J$985,
    MATCH(1,
      ('Dev 조치사항'!$D$6:$D$985=D26)*
      ('Dev 조치사항'!$K$6:$K$985=_xlfn.MAXIFS('Dev 조치사항'!$K$6:$K$985, 'Dev 조치사항'!$D$6:$D$985, D26)),
    0)
  )
)</f>
        <v/>
      </c>
      <c r="K26" s="31">
        <f>_xlfn.MAXIFS('Dev 조치사항'!$K$6:$K$985, 'Dev 조치사항'!$D$6:$D$985, D26)</f>
        <v/>
      </c>
    </row>
    <row r="27" ht="16.5" customHeight="1" s="49">
      <c r="A27" s="42" t="n"/>
      <c r="B27" s="42" t="n"/>
      <c r="C27" s="44" t="n"/>
      <c r="D27" s="43" t="inlineStr">
        <is>
          <t>AP591_TC_022</t>
        </is>
      </c>
      <c r="E27" s="3" t="inlineStr">
        <is>
          <t>필수값을 지우고 저장한다.</t>
        </is>
      </c>
      <c r="F27" s="4" t="inlineStr">
        <is>
          <t>점검작업 상세에서 점검명, 점검일자, 담당부서를 하나씩 비운 채 저장 → OK</t>
        </is>
      </c>
      <c r="G27" s="3" t="inlineStr">
        <is>
          <t>각각 필수값 누락 팝업이 뜨고 저장되지 않음 (3건 모두)</t>
        </is>
      </c>
      <c r="H27" s="10">
        <f t="array" ref="H27">INDEX('Dev 조치사항'!$H$6:$H$985, MATCH(1, ('Dev 조치사항'!$D$6:$D$985=D27)*('Dev 조치사항'!$K$6:$K$985=_xlfn.MAXIFS('Dev 조치사항'!$K$6:$K$985, 'Dev 조치사항'!$D$6:$D$985, D27)), 0))</f>
        <v/>
      </c>
      <c r="I27" s="11">
        <f t="array" ref="I27">INDEX('Dev 조치사항'!$I$6:$I$985, MATCH(1, ('Dev 조치사항'!$D$6:$D$985=D27)*('Dev 조치사항'!$K$6:$K$985=_xlfn.MAXIFS('Dev 조치사항'!$K$6:$K$985, 'Dev 조치사항'!$D$6:$D$985, D27)), 0))</f>
        <v/>
      </c>
      <c r="J27" s="16">
        <f t="array" ref="J27">IF(
  INDEX('Dev 조치사항'!$J$6:$J$985,
    MATCH(1,
      ('Dev 조치사항'!$D$6:$D$985=D27)*
      ('Dev 조치사항'!$K$6:$K$985=_xlfn.MAXIFS('Dev 조치사항'!$K$6:$K$985, 'Dev 조치사항'!$D$6:$D$985, D27)),
    0)
  ) = "",
  "-",
  INDEX('Dev 조치사항'!$J$6:$J$985,
    MATCH(1,
      ('Dev 조치사항'!$D$6:$D$985=D27)*
      ('Dev 조치사항'!$K$6:$K$985=_xlfn.MAXIFS('Dev 조치사항'!$K$6:$K$985, 'Dev 조치사항'!$D$6:$D$985, D27)),
    0)
  )
)</f>
        <v/>
      </c>
      <c r="K27" s="31">
        <f>_xlfn.MAXIFS('Dev 조치사항'!$K$6:$K$985, 'Dev 조치사항'!$D$6:$D$985, D27)</f>
        <v/>
      </c>
    </row>
    <row r="28" ht="16.5" customHeight="1" s="49">
      <c r="A28" s="42" t="n"/>
      <c r="B28" s="42" t="n"/>
      <c r="C28" s="43" t="inlineStr">
        <is>
          <t>Excel</t>
        </is>
      </c>
      <c r="D28" s="43" t="inlineStr">
        <is>
          <t>AP591_TC_023</t>
        </is>
      </c>
      <c r="E28" s="3" t="inlineStr">
        <is>
          <t>목록에 조회된 데이터를 Excel 다운로드한다.</t>
        </is>
      </c>
      <c r="F28" s="4" t="inlineStr">
        <is>
          <t>1. 조건 검색 (카렌다(월간)은 숫자 클릭)
2. Excel 버튼 클릭 후 파일 열기</t>
        </is>
      </c>
      <c r="G28" s="3" t="inlineStr">
        <is>
          <t>조회된 데이터가 담긴 Excel 파일이 받아지고 행 수가 목록 Total 과 같음 (조회 결과가 없으면 헤더만 있음)</t>
        </is>
      </c>
      <c r="H28" s="10">
        <f t="array" ref="H28">INDEX('Dev 조치사항'!$H$6:$H$985, MATCH(1, ('Dev 조치사항'!$D$6:$D$985=D28)*('Dev 조치사항'!$K$6:$K$985=_xlfn.MAXIFS('Dev 조치사항'!$K$6:$K$985, 'Dev 조치사항'!$D$6:$D$985, D28)), 0))</f>
        <v/>
      </c>
      <c r="I28" s="11">
        <f t="array" ref="I28">INDEX('Dev 조치사항'!$I$6:$I$985, MATCH(1, ('Dev 조치사항'!$D$6:$D$985=D28)*('Dev 조치사항'!$K$6:$K$985=_xlfn.MAXIFS('Dev 조치사항'!$K$6:$K$985, 'Dev 조치사항'!$D$6:$D$985, D28)), 0))</f>
        <v/>
      </c>
      <c r="J28" s="16">
        <f t="array" ref="J28">IF(
  INDEX('Dev 조치사항'!$J$6:$J$985,
    MATCH(1,
      ('Dev 조치사항'!$D$6:$D$985=D28)*
      ('Dev 조치사항'!$K$6:$K$985=_xlfn.MAXIFS('Dev 조치사항'!$K$6:$K$985, 'Dev 조치사항'!$D$6:$D$985, D28)),
    0)
  ) = "",
  "-",
  INDEX('Dev 조치사항'!$J$6:$J$985,
    MATCH(1,
      ('Dev 조치사항'!$D$6:$D$985=D28)*
      ('Dev 조치사항'!$K$6:$K$985=_xlfn.MAXIFS('Dev 조치사항'!$K$6:$K$985, 'Dev 조치사항'!$D$6:$D$985, D28)),
    0)
  )
)</f>
        <v/>
      </c>
      <c r="K28" s="31">
        <f>_xlfn.MAXIFS('Dev 조치사항'!$K$6:$K$985, 'Dev 조치사항'!$D$6:$D$985, D28)</f>
        <v/>
      </c>
    </row>
    <row r="29" ht="16.5" customHeight="1" s="49">
      <c r="A29" s="42" t="n"/>
      <c r="B29" s="42" t="n"/>
      <c r="C29" s="43" t="inlineStr">
        <is>
          <t>Setting</t>
        </is>
      </c>
      <c r="D29" s="43" t="inlineStr">
        <is>
          <t>AP591_TC_024</t>
        </is>
      </c>
      <c r="E29" s="3" t="inlineStr">
        <is>
          <t>검색·상세 Setting(Field 설정, Tab 설정) 변경이 화면에 반영되는지 확인한다.</t>
        </is>
      </c>
      <c r="F29" s="4" t="inlineStr">
        <is>
          <t>검색 영역·점검작업 상세의 Setting → Field 설정에서 한 항목의 화면표시명 변경, Display 여부 N, 정렬값 변경 → 저장 / Tab 설정에서 상세 탭 Display 여부 N → 화면 다시 열어 확인 → [초기화] → 화면 확인 → 원래 값으로 되돌림</t>
        </is>
      </c>
      <c r="G29" s="3" t="inlineStr">
        <is>
          <t>바꾼 화면표시명이 라벨에 보이고, Display N 항목은 숨겨지고, 정렬값대로 순서가 바뀜. [초기화] 하면 바로(다시 로그인하지 않아도) 기본 화면으로 돌아옴. 되돌린 뒤에는 원래 화면과 같음 (Setting 은 사용자별 저장)</t>
        </is>
      </c>
      <c r="H29" s="10">
        <f t="array" ref="H29">INDEX('Dev 조치사항'!$H$6:$H$985, MATCH(1, ('Dev 조치사항'!$D$6:$D$985=D29)*('Dev 조치사항'!$K$6:$K$985=_xlfn.MAXIFS('Dev 조치사항'!$K$6:$K$985, 'Dev 조치사항'!$D$6:$D$985, D29)), 0))</f>
        <v/>
      </c>
      <c r="I29" s="11">
        <f t="array" ref="I29">INDEX('Dev 조치사항'!$I$6:$I$985, MATCH(1, ('Dev 조치사항'!$D$6:$D$985=D29)*('Dev 조치사항'!$K$6:$K$985=_xlfn.MAXIFS('Dev 조치사항'!$K$6:$K$985, 'Dev 조치사항'!$D$6:$D$985, D29)), 0))</f>
        <v/>
      </c>
      <c r="J29" s="16">
        <f t="array" ref="J29">IF(
  INDEX('Dev 조치사항'!$J$6:$J$985,
    MATCH(1,
      ('Dev 조치사항'!$D$6:$D$985=D29)*
      ('Dev 조치사항'!$K$6:$K$985=_xlfn.MAXIFS('Dev 조치사항'!$K$6:$K$985, 'Dev 조치사항'!$D$6:$D$985, D29)),
    0)
  ) = "",
  "-",
  INDEX('Dev 조치사항'!$J$6:$J$985,
    MATCH(1,
      ('Dev 조치사항'!$D$6:$D$985=D29)*
      ('Dev 조치사항'!$K$6:$K$985=_xlfn.MAXIFS('Dev 조치사항'!$K$6:$K$985, 'Dev 조치사항'!$D$6:$D$985, D29)),
    0)
  )
)</f>
        <v/>
      </c>
      <c r="K29" s="31">
        <f>_xlfn.MAXIFS('Dev 조치사항'!$K$6:$K$985, 'Dev 조치사항'!$D$6:$D$985, D29)</f>
        <v/>
      </c>
    </row>
    <row r="30" ht="16.5" customHeight="1" s="49">
      <c r="A30" s="42" t="n"/>
      <c r="B30" s="42" t="n"/>
      <c r="C30" s="44" t="n"/>
      <c r="D30" s="43" t="inlineStr">
        <is>
          <t>AP591_TC_025</t>
        </is>
      </c>
      <c r="E30" s="3" t="inlineStr">
        <is>
          <t>목록 Setting 변경이 화면에 반영되는지 확인한다.</t>
        </is>
      </c>
      <c r="F30" s="4" t="inlineStr">
        <is>
          <t>목록의 Setting → 칼럼 Display N/Y, 정렬값, 칼럼너비, 정렬(Left/Center/Right), 조회순서(ASC/DESC), Background Color, 리스트 길이(-/+ 버튼, 숫자 입력) 변경 → 저장 → 화면 다시 열어 확인 → [초기화] → 원래 값으로 되돌림</t>
        </is>
      </c>
      <c r="G30" s="3" t="inlineStr">
        <is>
          <t>각 설정이 목록에 반영됨 (칼럼 숨김/보임, 순서, 너비, 글자 정렬, 데이터 조회 순서, 배경색, 목록 길이). [초기화] 하면 기본 칼럼으로 돌아옴</t>
        </is>
      </c>
      <c r="H30" s="10">
        <f t="array" ref="H30">INDEX('Dev 조치사항'!$H$6:$H$985, MATCH(1, ('Dev 조치사항'!$D$6:$D$985=D30)*('Dev 조치사항'!$K$6:$K$985=_xlfn.MAXIFS('Dev 조치사항'!$K$6:$K$985, 'Dev 조치사항'!$D$6:$D$985, D30)), 0))</f>
        <v/>
      </c>
      <c r="I30" s="11">
        <f t="array" ref="I30">INDEX('Dev 조치사항'!$I$6:$I$985, MATCH(1, ('Dev 조치사항'!$D$6:$D$985=D30)*('Dev 조치사항'!$K$6:$K$985=_xlfn.MAXIFS('Dev 조치사항'!$K$6:$K$985, 'Dev 조치사항'!$D$6:$D$985, D30)), 0))</f>
        <v/>
      </c>
      <c r="J30" s="16">
        <f t="array" ref="J30">IF(
  INDEX('Dev 조치사항'!$J$6:$J$985,
    MATCH(1,
      ('Dev 조치사항'!$D$6:$D$985=D30)*
      ('Dev 조치사항'!$K$6:$K$985=_xlfn.MAXIFS('Dev 조치사항'!$K$6:$K$985, 'Dev 조치사항'!$D$6:$D$985, D30)),
    0)
  ) = "",
  "-",
  INDEX('Dev 조치사항'!$J$6:$J$985,
    MATCH(1,
      ('Dev 조치사항'!$D$6:$D$985=D30)*
      ('Dev 조치사항'!$K$6:$K$985=_xlfn.MAXIFS('Dev 조치사항'!$K$6:$K$985, 'Dev 조치사항'!$D$6:$D$985, D30)),
    0)
  )
)</f>
        <v/>
      </c>
      <c r="K30" s="31">
        <f>_xlfn.MAXIFS('Dev 조치사항'!$K$6:$K$985, 'Dev 조치사항'!$D$6:$D$985, D30)</f>
        <v/>
      </c>
    </row>
    <row r="31" ht="16.5" customHeight="1" s="49">
      <c r="A31" s="42" t="n"/>
      <c r="B31" s="42" t="n"/>
      <c r="C31" s="43" t="inlineStr">
        <is>
          <t>확정</t>
        </is>
      </c>
      <c r="D31" s="43" t="inlineStr">
        <is>
          <t>AP591_TC_026</t>
        </is>
      </c>
      <c r="E31" s="3" t="inlineStr">
        <is>
          <t>정기점검을 확정처리한다. (필수값 입력O)</t>
        </is>
      </c>
      <c r="F31" s="4" t="inlineStr">
        <is>
          <t>점검일자 = 오늘인 작업발행 건의 점검항목 점검결과·점검값 입력 → 확정 → OK</t>
        </is>
      </c>
      <c r="G31" s="3" t="inlineStr">
        <is>
          <t>점검작업상태가 작업완료로 바뀌고 상세는 더 이상 수정할 수 없음</t>
        </is>
      </c>
      <c r="H31" s="10">
        <f t="array" ref="H31">INDEX('Dev 조치사항'!$H$6:$H$985, MATCH(1, ('Dev 조치사항'!$D$6:$D$985=D31)*('Dev 조치사항'!$K$6:$K$985=_xlfn.MAXIFS('Dev 조치사항'!$K$6:$K$985, 'Dev 조치사항'!$D$6:$D$985, D31)), 0))</f>
        <v/>
      </c>
      <c r="I31" s="11">
        <f t="array" ref="I31">INDEX('Dev 조치사항'!$I$6:$I$985, MATCH(1, ('Dev 조치사항'!$D$6:$D$985=D31)*('Dev 조치사항'!$K$6:$K$985=_xlfn.MAXIFS('Dev 조치사항'!$K$6:$K$985, 'Dev 조치사항'!$D$6:$D$985, D31)), 0))</f>
        <v/>
      </c>
      <c r="J31" s="16">
        <f t="array" ref="J31">IF(
  INDEX('Dev 조치사항'!$J$6:$J$985,
    MATCH(1,
      ('Dev 조치사항'!$D$6:$D$985=D31)*
      ('Dev 조치사항'!$K$6:$K$985=_xlfn.MAXIFS('Dev 조치사항'!$K$6:$K$985, 'Dev 조치사항'!$D$6:$D$985, D31)),
    0)
  ) = "",
  "-",
  INDEX('Dev 조치사항'!$J$6:$J$985,
    MATCH(1,
      ('Dev 조치사항'!$D$6:$D$985=D31)*
      ('Dev 조치사항'!$K$6:$K$985=_xlfn.MAXIFS('Dev 조치사항'!$K$6:$K$985, 'Dev 조치사항'!$D$6:$D$985, D31)),
    0)
  )
)</f>
        <v/>
      </c>
      <c r="K31" s="31">
        <f>_xlfn.MAXIFS('Dev 조치사항'!$K$6:$K$985, 'Dev 조치사항'!$D$6:$D$985, D31)</f>
        <v/>
      </c>
    </row>
    <row r="32" ht="16.5" customHeight="1" s="49">
      <c r="A32" s="42" t="n"/>
      <c r="B32" s="42" t="n"/>
      <c r="C32" s="44" t="n"/>
      <c r="D32" s="43" t="inlineStr">
        <is>
          <t>AP591_TC_027</t>
        </is>
      </c>
      <c r="E32" s="3" t="inlineStr">
        <is>
          <t>정기점검을 확정처리한다. (필수값 입력X)</t>
        </is>
      </c>
      <c r="F32" s="4" t="inlineStr">
        <is>
          <t>점검작업 상세에서 필수값(점검명)을 비운 채 확정 → OK</t>
        </is>
      </c>
      <c r="G32" s="3" t="inlineStr">
        <is>
          <t>필수값 누락 팝업, 확정되지 않음</t>
        </is>
      </c>
      <c r="H32" s="10">
        <f t="array" ref="H32">INDEX('Dev 조치사항'!$H$6:$H$985, MATCH(1, ('Dev 조치사항'!$D$6:$D$985=D32)*('Dev 조치사항'!$K$6:$K$985=_xlfn.MAXIFS('Dev 조치사항'!$K$6:$K$985, 'Dev 조치사항'!$D$6:$D$985, D32)), 0))</f>
        <v/>
      </c>
      <c r="I32" s="11">
        <f t="array" ref="I32">INDEX('Dev 조치사항'!$I$6:$I$985, MATCH(1, ('Dev 조치사항'!$D$6:$D$985=D32)*('Dev 조치사항'!$K$6:$K$985=_xlfn.MAXIFS('Dev 조치사항'!$K$6:$K$985, 'Dev 조치사항'!$D$6:$D$985, D32)), 0))</f>
        <v/>
      </c>
      <c r="J32" s="16">
        <f t="array" ref="J32">IF(
  INDEX('Dev 조치사항'!$J$6:$J$985,
    MATCH(1,
      ('Dev 조치사항'!$D$6:$D$985=D32)*
      ('Dev 조치사항'!$K$6:$K$985=_xlfn.MAXIFS('Dev 조치사항'!$K$6:$K$985, 'Dev 조치사항'!$D$6:$D$985, D32)),
    0)
  ) = "",
  "-",
  INDEX('Dev 조치사항'!$J$6:$J$985,
    MATCH(1,
      ('Dev 조치사항'!$D$6:$D$985=D32)*
      ('Dev 조치사항'!$K$6:$K$985=_xlfn.MAXIFS('Dev 조치사항'!$K$6:$K$985, 'Dev 조치사항'!$D$6:$D$985, D32)),
    0)
  )
)</f>
        <v/>
      </c>
      <c r="K32" s="31">
        <f>_xlfn.MAXIFS('Dev 조치사항'!$K$6:$K$985, 'Dev 조치사항'!$D$6:$D$985, D32)</f>
        <v/>
      </c>
    </row>
    <row r="33" ht="16.5" customHeight="1" s="49">
      <c r="A33" s="42" t="n"/>
      <c r="B33" s="42" t="n"/>
      <c r="C33" s="43" t="inlineStr">
        <is>
          <t>Linked</t>
        </is>
      </c>
      <c r="D33" s="43" t="inlineStr">
        <is>
          <t>AP591_TC_028</t>
        </is>
      </c>
      <c r="E33" s="3" t="inlineStr">
        <is>
          <t>기준서를 확인한다.</t>
        </is>
      </c>
      <c r="F33" s="4" t="inlineStr">
        <is>
          <t>점검작업 상세의 Linked → 기준서 클릭</t>
        </is>
      </c>
      <c r="G33" s="3" t="inlineStr">
        <is>
          <t>이 점검작업의 정기점검주기(기준서) 상세가 팝업으로 열림</t>
        </is>
      </c>
      <c r="H33" s="10">
        <f t="array" ref="H33">INDEX('Dev 조치사항'!$H$6:$H$985, MATCH(1, ('Dev 조치사항'!$D$6:$D$985=D33)*('Dev 조치사항'!$K$6:$K$985=_xlfn.MAXIFS('Dev 조치사항'!$K$6:$K$985, 'Dev 조치사항'!$D$6:$D$985, D33)), 0))</f>
        <v/>
      </c>
      <c r="I33" s="11">
        <f t="array" ref="I33">INDEX('Dev 조치사항'!$I$6:$I$985, MATCH(1, ('Dev 조치사항'!$D$6:$D$985=D33)*('Dev 조치사항'!$K$6:$K$985=_xlfn.MAXIFS('Dev 조치사항'!$K$6:$K$985, 'Dev 조치사항'!$D$6:$D$985, D33)), 0))</f>
        <v/>
      </c>
      <c r="J33" s="16">
        <f t="array" ref="J33">IF(
  INDEX('Dev 조치사항'!$J$6:$J$985,
    MATCH(1,
      ('Dev 조치사항'!$D$6:$D$985=D33)*
      ('Dev 조치사항'!$K$6:$K$985=_xlfn.MAXIFS('Dev 조치사항'!$K$6:$K$985, 'Dev 조치사항'!$D$6:$D$985, D33)),
    0)
  ) = "",
  "-",
  INDEX('Dev 조치사항'!$J$6:$J$985,
    MATCH(1,
      ('Dev 조치사항'!$D$6:$D$985=D33)*
      ('Dev 조치사항'!$K$6:$K$985=_xlfn.MAXIFS('Dev 조치사항'!$K$6:$K$985, 'Dev 조치사항'!$D$6:$D$985, D33)),
    0)
  )
)</f>
        <v/>
      </c>
      <c r="K33" s="31">
        <f>_xlfn.MAXIFS('Dev 조치사항'!$K$6:$K$985, 'Dev 조치사항'!$D$6:$D$985, D33)</f>
        <v/>
      </c>
    </row>
    <row r="34" ht="16.5" customHeight="1" s="49">
      <c r="A34" s="42" t="n"/>
      <c r="B34" s="44" t="n"/>
      <c r="C34" s="44" t="n"/>
      <c r="D34" s="43" t="inlineStr">
        <is>
          <t>AP591_TC_029</t>
        </is>
      </c>
      <c r="E34" s="3" t="inlineStr">
        <is>
          <t>정기점검결과 출력물을 확인한다.</t>
        </is>
      </c>
      <c r="F34" s="4" t="inlineStr">
        <is>
          <t>점검작업 상세의 Linked → 정기점검결과출력 클릭</t>
        </is>
      </c>
      <c r="G34" s="3" t="inlineStr">
        <is>
          <t>이 점검작업의 정기점검결과서 출력 팝업이 열림</t>
        </is>
      </c>
      <c r="H34" s="10">
        <f t="array" ref="H34">INDEX('Dev 조치사항'!$H$6:$H$985, MATCH(1, ('Dev 조치사항'!$D$6:$D$985=D34)*('Dev 조치사항'!$K$6:$K$985=_xlfn.MAXIFS('Dev 조치사항'!$K$6:$K$985, 'Dev 조치사항'!$D$6:$D$985, D34)), 0))</f>
        <v/>
      </c>
      <c r="I34" s="11">
        <f t="array" ref="I34">INDEX('Dev 조치사항'!$I$6:$I$985, MATCH(1, ('Dev 조치사항'!$D$6:$D$985=D34)*('Dev 조치사항'!$K$6:$K$985=_xlfn.MAXIFS('Dev 조치사항'!$K$6:$K$985, 'Dev 조치사항'!$D$6:$D$985, D34)), 0))</f>
        <v/>
      </c>
      <c r="J34" s="16">
        <f t="array" ref="J34">IF(
  INDEX('Dev 조치사항'!$J$6:$J$985,
    MATCH(1,
      ('Dev 조치사항'!$D$6:$D$985=D34)*
      ('Dev 조치사항'!$K$6:$K$985=_xlfn.MAXIFS('Dev 조치사항'!$K$6:$K$985, 'Dev 조치사항'!$D$6:$D$985, D34)),
    0)
  ) = "",
  "-",
  INDEX('Dev 조치사항'!$J$6:$J$985,
    MATCH(1,
      ('Dev 조치사항'!$D$6:$D$985=D34)*
      ('Dev 조치사항'!$K$6:$K$985=_xlfn.MAXIFS('Dev 조치사항'!$K$6:$K$985, 'Dev 조치사항'!$D$6:$D$985, D34)),
    0)
  )
)</f>
        <v/>
      </c>
      <c r="K34" s="31">
        <f>_xlfn.MAXIFS('Dev 조치사항'!$K$6:$K$985, 'Dev 조치사항'!$D$6:$D$985, D34)</f>
        <v/>
      </c>
    </row>
    <row r="35" ht="16.5" customHeight="1" s="49">
      <c r="A35" s="42" t="n"/>
      <c r="B35" s="43" t="inlineStr">
        <is>
          <t>점검항목</t>
        </is>
      </c>
      <c r="C35" s="43" t="inlineStr">
        <is>
          <t>탭조회</t>
        </is>
      </c>
      <c r="D35" s="43" t="inlineStr">
        <is>
          <t>AP591_TC_030</t>
        </is>
      </c>
      <c r="E35" s="3" t="inlineStr">
        <is>
          <t>점검항목 목록 데이터 개수를 확인한다.</t>
        </is>
      </c>
      <c r="F35" s="4" t="inlineStr">
        <is>
          <t>점검작업 상세 하단 점검항목 탭 확인</t>
        </is>
      </c>
      <c r="G35" s="3" t="inlineStr">
        <is>
          <t>정기점검주기에 등록한 점검항목이 점검순서대로 표시되고 탭 제목 숫자, Total 과 행 수가 일치함</t>
        </is>
      </c>
      <c r="H35" s="10">
        <f t="array" ref="H35">INDEX('Dev 조치사항'!$H$6:$H$985, MATCH(1, ('Dev 조치사항'!$D$6:$D$985=D35)*('Dev 조치사항'!$K$6:$K$985=_xlfn.MAXIFS('Dev 조치사항'!$K$6:$K$985, 'Dev 조치사항'!$D$6:$D$985, D35)), 0))</f>
        <v/>
      </c>
      <c r="I35" s="11">
        <f t="array" ref="I35">INDEX('Dev 조치사항'!$I$6:$I$985, MATCH(1, ('Dev 조치사항'!$D$6:$D$985=D35)*('Dev 조치사항'!$K$6:$K$985=_xlfn.MAXIFS('Dev 조치사항'!$K$6:$K$985, 'Dev 조치사항'!$D$6:$D$985, D35)), 0))</f>
        <v/>
      </c>
      <c r="J35" s="16">
        <f t="array" ref="J35">IF(
  INDEX('Dev 조치사항'!$J$6:$J$985,
    MATCH(1,
      ('Dev 조치사항'!$D$6:$D$985=D35)*
      ('Dev 조치사항'!$K$6:$K$985=_xlfn.MAXIFS('Dev 조치사항'!$K$6:$K$985, 'Dev 조치사항'!$D$6:$D$985, D35)),
    0)
  ) = "",
  "-",
  INDEX('Dev 조치사항'!$J$6:$J$985,
    MATCH(1,
      ('Dev 조치사항'!$D$6:$D$985=D35)*
      ('Dev 조치사항'!$K$6:$K$985=_xlfn.MAXIFS('Dev 조치사항'!$K$6:$K$985, 'Dev 조치사항'!$D$6:$D$985, D35)),
    0)
  )
)</f>
        <v/>
      </c>
      <c r="K35" s="31">
        <f>_xlfn.MAXIFS('Dev 조치사항'!$K$6:$K$985, 'Dev 조치사항'!$D$6:$D$985, D35)</f>
        <v/>
      </c>
    </row>
    <row r="36" ht="16.5" customHeight="1" s="49">
      <c r="A36" s="42" t="n"/>
      <c r="B36" s="42" t="n"/>
      <c r="C36" s="42" t="n"/>
      <c r="D36" s="43" t="inlineStr">
        <is>
          <t>AP591_TC_031</t>
        </is>
      </c>
      <c r="E36" s="3" t="inlineStr">
        <is>
          <t>점검항목 목록을 정렬한다.</t>
        </is>
      </c>
      <c r="F36" s="4" t="inlineStr">
        <is>
          <t>점검항목 목록 헤더(점검순서, 점검항목) 클릭 2회</t>
        </is>
      </c>
      <c r="G36" s="3" t="inlineStr">
        <is>
          <t>선택한 열 기준으로 오름차순 → 내림차순 정렬됨</t>
        </is>
      </c>
      <c r="H36" s="10">
        <f t="array" ref="H36">INDEX('Dev 조치사항'!$H$6:$H$985, MATCH(1, ('Dev 조치사항'!$D$6:$D$985=D36)*('Dev 조치사항'!$K$6:$K$985=_xlfn.MAXIFS('Dev 조치사항'!$K$6:$K$985, 'Dev 조치사항'!$D$6:$D$985, D36)), 0))</f>
        <v/>
      </c>
      <c r="I36" s="11">
        <f t="array" ref="I36">INDEX('Dev 조치사항'!$I$6:$I$985, MATCH(1, ('Dev 조치사항'!$D$6:$D$985=D36)*('Dev 조치사항'!$K$6:$K$985=_xlfn.MAXIFS('Dev 조치사항'!$K$6:$K$985, 'Dev 조치사항'!$D$6:$D$985, D36)), 0))</f>
        <v/>
      </c>
      <c r="J36" s="16">
        <f t="array" ref="J36">IF(
  INDEX('Dev 조치사항'!$J$6:$J$985,
    MATCH(1,
      ('Dev 조치사항'!$D$6:$D$985=D36)*
      ('Dev 조치사항'!$K$6:$K$985=_xlfn.MAXIFS('Dev 조치사항'!$K$6:$K$985, 'Dev 조치사항'!$D$6:$D$985, D36)),
    0)
  ) = "",
  "-",
  INDEX('Dev 조치사항'!$J$6:$J$985,
    MATCH(1,
      ('Dev 조치사항'!$D$6:$D$985=D36)*
      ('Dev 조치사항'!$K$6:$K$985=_xlfn.MAXIFS('Dev 조치사항'!$K$6:$K$985, 'Dev 조치사항'!$D$6:$D$985, D36)),
    0)
  )
)</f>
        <v/>
      </c>
      <c r="K36" s="31">
        <f>_xlfn.MAXIFS('Dev 조치사항'!$K$6:$K$985, 'Dev 조치사항'!$D$6:$D$985, D36)</f>
        <v/>
      </c>
    </row>
    <row r="37" ht="16.5" customHeight="1" s="49">
      <c r="A37" s="42" t="n"/>
      <c r="B37" s="42" t="n"/>
      <c r="C37" s="42" t="n"/>
      <c r="D37" s="43" t="inlineStr">
        <is>
          <t>AP591_TC_032</t>
        </is>
      </c>
      <c r="E37" s="3" t="inlineStr">
        <is>
          <t>(행 클릭) 점검항목 상세를 조회한다.</t>
        </is>
      </c>
      <c r="F37" s="4" t="inlineStr">
        <is>
          <t>점검항목 행 클릭</t>
        </is>
      </c>
      <c r="G37" s="3" t="inlineStr">
        <is>
          <t>하단에 점검값 상세(점검항목 : 항목명)가 열리고 점검부위, 점검항목, 점검방법, 적정기준, 점검결과, 점검값이 표시됨</t>
        </is>
      </c>
      <c r="H37" s="10">
        <f t="array" ref="H37">INDEX('Dev 조치사항'!$H$6:$H$985, MATCH(1, ('Dev 조치사항'!$D$6:$D$985=D37)*('Dev 조치사항'!$K$6:$K$985=_xlfn.MAXIFS('Dev 조치사항'!$K$6:$K$985, 'Dev 조치사항'!$D$6:$D$985, D37)), 0))</f>
        <v/>
      </c>
      <c r="I37" s="11">
        <f t="array" ref="I37">INDEX('Dev 조치사항'!$I$6:$I$985, MATCH(1, ('Dev 조치사항'!$D$6:$D$985=D37)*('Dev 조치사항'!$K$6:$K$985=_xlfn.MAXIFS('Dev 조치사항'!$K$6:$K$985, 'Dev 조치사항'!$D$6:$D$985, D37)), 0))</f>
        <v/>
      </c>
      <c r="J37" s="16">
        <f t="array" ref="J37">IF(
  INDEX('Dev 조치사항'!$J$6:$J$985,
    MATCH(1,
      ('Dev 조치사항'!$D$6:$D$985=D37)*
      ('Dev 조치사항'!$K$6:$K$985=_xlfn.MAXIFS('Dev 조치사항'!$K$6:$K$985, 'Dev 조치사항'!$D$6:$D$985, D37)),
    0)
  ) = "",
  "-",
  INDEX('Dev 조치사항'!$J$6:$J$985,
    MATCH(1,
      ('Dev 조치사항'!$D$6:$D$985=D37)*
      ('Dev 조치사항'!$K$6:$K$985=_xlfn.MAXIFS('Dev 조치사항'!$K$6:$K$985, 'Dev 조치사항'!$D$6:$D$985, D37)),
    0)
  )
)</f>
        <v/>
      </c>
      <c r="K37" s="31">
        <f>_xlfn.MAXIFS('Dev 조치사항'!$K$6:$K$985, 'Dev 조치사항'!$D$6:$D$985, D37)</f>
        <v/>
      </c>
    </row>
    <row r="38" ht="16.5" customHeight="1" s="49">
      <c r="A38" s="42" t="n"/>
      <c r="B38" s="42" t="n"/>
      <c r="C38" s="42" t="n"/>
      <c r="D38" s="43" t="inlineStr">
        <is>
          <t>AP591_TC_033</t>
        </is>
      </c>
      <c r="E38" s="3" t="inlineStr">
        <is>
          <t>(상세보기 버튼 클릭) 점검항목 상세를 조회한다.</t>
        </is>
      </c>
      <c r="F38" s="4" t="inlineStr">
        <is>
          <t>점검항목 행 선택 후 상세보기 클릭</t>
        </is>
      </c>
      <c r="G38" s="3" t="inlineStr">
        <is>
          <t>선택한 점검항목 상세가 팝업으로 열리고 하단 상세와 내용이 같음</t>
        </is>
      </c>
      <c r="H38" s="10">
        <f t="array" ref="H38">INDEX('Dev 조치사항'!$H$6:$H$985, MATCH(1, ('Dev 조치사항'!$D$6:$D$985=D38)*('Dev 조치사항'!$K$6:$K$985=_xlfn.MAXIFS('Dev 조치사항'!$K$6:$K$985, 'Dev 조치사항'!$D$6:$D$985, D38)), 0))</f>
        <v/>
      </c>
      <c r="I38" s="11">
        <f t="array" ref="I38">INDEX('Dev 조치사항'!$I$6:$I$985, MATCH(1, ('Dev 조치사항'!$D$6:$D$985=D38)*('Dev 조치사항'!$K$6:$K$985=_xlfn.MAXIFS('Dev 조치사항'!$K$6:$K$985, 'Dev 조치사항'!$D$6:$D$985, D38)), 0))</f>
        <v/>
      </c>
      <c r="J38" s="16">
        <f t="array" ref="J38">IF(
  INDEX('Dev 조치사항'!$J$6:$J$985,
    MATCH(1,
      ('Dev 조치사항'!$D$6:$D$985=D38)*
      ('Dev 조치사항'!$K$6:$K$985=_xlfn.MAXIFS('Dev 조치사항'!$K$6:$K$985, 'Dev 조치사항'!$D$6:$D$985, D38)),
    0)
  ) = "",
  "-",
  INDEX('Dev 조치사항'!$J$6:$J$985,
    MATCH(1,
      ('Dev 조치사항'!$D$6:$D$985=D38)*
      ('Dev 조치사항'!$K$6:$K$985=_xlfn.MAXIFS('Dev 조치사항'!$K$6:$K$985, 'Dev 조치사항'!$D$6:$D$985, D38)),
    0)
  )
)</f>
        <v/>
      </c>
      <c r="K38" s="31">
        <f>_xlfn.MAXIFS('Dev 조치사항'!$K$6:$K$985, 'Dev 조치사항'!$D$6:$D$985, D38)</f>
        <v/>
      </c>
    </row>
    <row r="39" ht="16.5" customHeight="1" s="49">
      <c r="A39" s="42" t="n"/>
      <c r="B39" s="42" t="n"/>
      <c r="C39" s="44" t="n"/>
      <c r="D39" s="43" t="inlineStr">
        <is>
          <t>AP591_TC_034</t>
        </is>
      </c>
      <c r="E39" s="3" t="inlineStr">
        <is>
          <t>점검항목 목록·상세의 표시 형식을 확인한다.</t>
        </is>
      </c>
      <c r="F39" s="4" t="inlineStr">
        <is>
          <t>점검항목 목록과 점검값 상세의 숫자(하한값, 기준값, 상한값, 점검값), 코드(수치/판정, 점검결과) 확인</t>
        </is>
      </c>
      <c r="G39" s="3" t="inlineStr">
        <is>
          <t>숫자는 오른쪽 정렬, 코드는 코드명(예: 수치값, 정상)으로 표시</t>
        </is>
      </c>
      <c r="H39" s="10">
        <f t="array" ref="H39">INDEX('Dev 조치사항'!$H$6:$H$985, MATCH(1, ('Dev 조치사항'!$D$6:$D$985=D39)*('Dev 조치사항'!$K$6:$K$985=_xlfn.MAXIFS('Dev 조치사항'!$K$6:$K$985, 'Dev 조치사항'!$D$6:$D$985, D39)), 0))</f>
        <v/>
      </c>
      <c r="I39" s="11">
        <f t="array" ref="I39">INDEX('Dev 조치사항'!$I$6:$I$985, MATCH(1, ('Dev 조치사항'!$D$6:$D$985=D39)*('Dev 조치사항'!$K$6:$K$985=_xlfn.MAXIFS('Dev 조치사항'!$K$6:$K$985, 'Dev 조치사항'!$D$6:$D$985, D39)), 0))</f>
        <v/>
      </c>
      <c r="J39" s="16">
        <f t="array" ref="J39">IF(
  INDEX('Dev 조치사항'!$J$6:$J$985,
    MATCH(1,
      ('Dev 조치사항'!$D$6:$D$985=D39)*
      ('Dev 조치사항'!$K$6:$K$985=_xlfn.MAXIFS('Dev 조치사항'!$K$6:$K$985, 'Dev 조치사항'!$D$6:$D$985, D39)),
    0)
  ) = "",
  "-",
  INDEX('Dev 조치사항'!$J$6:$J$985,
    MATCH(1,
      ('Dev 조치사항'!$D$6:$D$985=D39)*
      ('Dev 조치사항'!$K$6:$K$985=_xlfn.MAXIFS('Dev 조치사항'!$K$6:$K$985, 'Dev 조치사항'!$D$6:$D$985, D39)),
    0)
  )
)</f>
        <v/>
      </c>
      <c r="K39" s="31">
        <f>_xlfn.MAXIFS('Dev 조치사항'!$K$6:$K$985, 'Dev 조치사항'!$D$6:$D$985, D39)</f>
        <v/>
      </c>
    </row>
    <row r="40" ht="16.5" customHeight="1" s="49">
      <c r="A40" s="42" t="n"/>
      <c r="B40" s="42" t="n"/>
      <c r="C40" s="43" t="inlineStr">
        <is>
          <t>탭닫기</t>
        </is>
      </c>
      <c r="D40" s="43" t="inlineStr">
        <is>
          <t>AP591_TC_035</t>
        </is>
      </c>
      <c r="E40" s="3" t="inlineStr">
        <is>
          <t>점검항목 상세를 닫는다.</t>
        </is>
      </c>
      <c r="F40" s="4" t="inlineStr">
        <is>
          <t>하단 점검값 상세의 닫기(ⓧ) 클릭 / 상세보기 팝업 닫기 클릭</t>
        </is>
      </c>
      <c r="G40" s="3" t="inlineStr">
        <is>
          <t>점검값 상세(팝업)가 닫힘</t>
        </is>
      </c>
      <c r="H40" s="10">
        <f t="array" ref="H40">INDEX('Dev 조치사항'!$H$6:$H$985, MATCH(1, ('Dev 조치사항'!$D$6:$D$985=D40)*('Dev 조치사항'!$K$6:$K$985=_xlfn.MAXIFS('Dev 조치사항'!$K$6:$K$985, 'Dev 조치사항'!$D$6:$D$985, D40)), 0))</f>
        <v/>
      </c>
      <c r="I40" s="11">
        <f t="array" ref="I40">INDEX('Dev 조치사항'!$I$6:$I$985, MATCH(1, ('Dev 조치사항'!$D$6:$D$985=D40)*('Dev 조치사항'!$K$6:$K$985=_xlfn.MAXIFS('Dev 조치사항'!$K$6:$K$985, 'Dev 조치사항'!$D$6:$D$985, D40)), 0))</f>
        <v/>
      </c>
      <c r="J40" s="16">
        <f t="array" ref="J40">IF(
  INDEX('Dev 조치사항'!$J$6:$J$985,
    MATCH(1,
      ('Dev 조치사항'!$D$6:$D$985=D40)*
      ('Dev 조치사항'!$K$6:$K$985=_xlfn.MAXIFS('Dev 조치사항'!$K$6:$K$985, 'Dev 조치사항'!$D$6:$D$985, D40)),
    0)
  ) = "",
  "-",
  INDEX('Dev 조치사항'!$J$6:$J$985,
    MATCH(1,
      ('Dev 조치사항'!$D$6:$D$985=D40)*
      ('Dev 조치사항'!$K$6:$K$985=_xlfn.MAXIFS('Dev 조치사항'!$K$6:$K$985, 'Dev 조치사항'!$D$6:$D$985, D40)),
    0)
  )
)</f>
        <v/>
      </c>
      <c r="K40" s="31">
        <f>_xlfn.MAXIFS('Dev 조치사항'!$K$6:$K$985, 'Dev 조치사항'!$D$6:$D$985, D40)</f>
        <v/>
      </c>
    </row>
    <row r="41" ht="16.5" customHeight="1" s="49">
      <c r="A41" s="42" t="n"/>
      <c r="B41" s="42" t="n"/>
      <c r="C41" s="43" t="inlineStr">
        <is>
          <t>탭수정</t>
        </is>
      </c>
      <c r="D41" s="43" t="inlineStr">
        <is>
          <t>AP591_TC_036</t>
        </is>
      </c>
      <c r="E41" s="3" t="inlineStr">
        <is>
          <t>점검항목의 점검결과·점검값을 입력한다.</t>
        </is>
      </c>
      <c r="F41" s="4" t="inlineStr">
        <is>
          <t>점검항목 행 클릭 → 점검결과 선택, 점검값(수치형) 입력, 검사세부내용 입력 → 저장 → OK</t>
        </is>
      </c>
      <c r="G41" s="3" t="inlineStr">
        <is>
          <t>입력한 점검결과·점검값·검사세부내용이 점검항목 목록에 표시됨</t>
        </is>
      </c>
      <c r="H41" s="10">
        <f t="array" ref="H41">INDEX('Dev 조치사항'!$H$6:$H$985, MATCH(1, ('Dev 조치사항'!$D$6:$D$985=D41)*('Dev 조치사항'!$K$6:$K$985=_xlfn.MAXIFS('Dev 조치사항'!$K$6:$K$985, 'Dev 조치사항'!$D$6:$D$985, D41)), 0))</f>
        <v/>
      </c>
      <c r="I41" s="11">
        <f t="array" ref="I41">INDEX('Dev 조치사항'!$I$6:$I$985, MATCH(1, ('Dev 조치사항'!$D$6:$D$985=D41)*('Dev 조치사항'!$K$6:$K$985=_xlfn.MAXIFS('Dev 조치사항'!$K$6:$K$985, 'Dev 조치사항'!$D$6:$D$985, D41)), 0))</f>
        <v/>
      </c>
      <c r="J41" s="16">
        <f t="array" ref="J41">IF(
  INDEX('Dev 조치사항'!$J$6:$J$985,
    MATCH(1,
      ('Dev 조치사항'!$D$6:$D$985=D41)*
      ('Dev 조치사항'!$K$6:$K$985=_xlfn.MAXIFS('Dev 조치사항'!$K$6:$K$985, 'Dev 조치사항'!$D$6:$D$985, D41)),
    0)
  ) = "",
  "-",
  INDEX('Dev 조치사항'!$J$6:$J$985,
    MATCH(1,
      ('Dev 조치사항'!$D$6:$D$985=D41)*
      ('Dev 조치사항'!$K$6:$K$985=_xlfn.MAXIFS('Dev 조치사항'!$K$6:$K$985, 'Dev 조치사항'!$D$6:$D$985, D41)),
    0)
  )
)</f>
        <v/>
      </c>
      <c r="K41" s="31">
        <f>_xlfn.MAXIFS('Dev 조치사항'!$K$6:$K$985, 'Dev 조치사항'!$D$6:$D$985, D41)</f>
        <v/>
      </c>
    </row>
    <row r="42" ht="16.5" customHeight="1" s="49">
      <c r="A42" s="42" t="n"/>
      <c r="B42" s="42" t="n"/>
      <c r="C42" s="44" t="n"/>
      <c r="D42" s="43" t="inlineStr">
        <is>
          <t>AP591_TC_037</t>
        </is>
      </c>
      <c r="E42" s="3" t="inlineStr">
        <is>
          <t>점검항목의 필수값을 지우고 저장한다.</t>
        </is>
      </c>
      <c r="F42" s="4" t="inlineStr">
        <is>
          <t>점검값 상세에서 점검결과를 지운 채 저장 → OK</t>
        </is>
      </c>
      <c r="G42" s="3" t="inlineStr">
        <is>
          <t>필수값 누락 팝업이 뜨고 저장되지 않음</t>
        </is>
      </c>
      <c r="H42" s="10">
        <f t="array" ref="H42">INDEX('Dev 조치사항'!$H$6:$H$985, MATCH(1, ('Dev 조치사항'!$D$6:$D$985=D42)*('Dev 조치사항'!$K$6:$K$985=_xlfn.MAXIFS('Dev 조치사항'!$K$6:$K$985, 'Dev 조치사항'!$D$6:$D$985, D42)), 0))</f>
        <v/>
      </c>
      <c r="I42" s="11">
        <f t="array" ref="I42">INDEX('Dev 조치사항'!$I$6:$I$985, MATCH(1, ('Dev 조치사항'!$D$6:$D$985=D42)*('Dev 조치사항'!$K$6:$K$985=_xlfn.MAXIFS('Dev 조치사항'!$K$6:$K$985, 'Dev 조치사항'!$D$6:$D$985, D42)), 0))</f>
        <v/>
      </c>
      <c r="J42" s="16">
        <f t="array" ref="J42">IF(
  INDEX('Dev 조치사항'!$J$6:$J$985,
    MATCH(1,
      ('Dev 조치사항'!$D$6:$D$985=D42)*
      ('Dev 조치사항'!$K$6:$K$985=_xlfn.MAXIFS('Dev 조치사항'!$K$6:$K$985, 'Dev 조치사항'!$D$6:$D$985, D42)),
    0)
  ) = "",
  "-",
  INDEX('Dev 조치사항'!$J$6:$J$985,
    MATCH(1,
      ('Dev 조치사항'!$D$6:$D$985=D42)*
      ('Dev 조치사항'!$K$6:$K$985=_xlfn.MAXIFS('Dev 조치사항'!$K$6:$K$985, 'Dev 조치사항'!$D$6:$D$985, D42)),
    0)
  )
)</f>
        <v/>
      </c>
      <c r="K42" s="31">
        <f>_xlfn.MAXIFS('Dev 조치사항'!$K$6:$K$985, 'Dev 조치사항'!$D$6:$D$985, D42)</f>
        <v/>
      </c>
    </row>
    <row r="43" ht="16.5" customHeight="1" s="49">
      <c r="A43" s="42" t="n"/>
      <c r="B43" s="42" t="n"/>
      <c r="C43" s="43" t="inlineStr">
        <is>
          <t>탭Excel</t>
        </is>
      </c>
      <c r="D43" s="43" t="inlineStr">
        <is>
          <t>AP591_TC_038</t>
        </is>
      </c>
      <c r="E43" s="3" t="inlineStr">
        <is>
          <t>점검항목 목록을 Excel로 다운로드한다.</t>
        </is>
      </c>
      <c r="F43" s="4" t="inlineStr">
        <is>
          <t>점검항목 목록의 Excel 클릭</t>
        </is>
      </c>
      <c r="G43" s="3" t="inlineStr">
        <is>
          <t>점검항목 목록이 담긴 Excel 파일이 받아짐 (데이터가 없으면 헤더만)</t>
        </is>
      </c>
      <c r="H43" s="10">
        <f t="array" ref="H43">INDEX('Dev 조치사항'!$H$6:$H$985, MATCH(1, ('Dev 조치사항'!$D$6:$D$985=D43)*('Dev 조치사항'!$K$6:$K$985=_xlfn.MAXIFS('Dev 조치사항'!$K$6:$K$985, 'Dev 조치사항'!$D$6:$D$985, D43)), 0))</f>
        <v/>
      </c>
      <c r="I43" s="11">
        <f t="array" ref="I43">INDEX('Dev 조치사항'!$I$6:$I$985, MATCH(1, ('Dev 조치사항'!$D$6:$D$985=D43)*('Dev 조치사항'!$K$6:$K$985=_xlfn.MAXIFS('Dev 조치사항'!$K$6:$K$985, 'Dev 조치사항'!$D$6:$D$985, D43)), 0))</f>
        <v/>
      </c>
      <c r="J43" s="16">
        <f t="array" ref="J43">IF(
  INDEX('Dev 조치사항'!$J$6:$J$985,
    MATCH(1,
      ('Dev 조치사항'!$D$6:$D$985=D43)*
      ('Dev 조치사항'!$K$6:$K$985=_xlfn.MAXIFS('Dev 조치사항'!$K$6:$K$985, 'Dev 조치사항'!$D$6:$D$985, D43)),
    0)
  ) = "",
  "-",
  INDEX('Dev 조치사항'!$J$6:$J$985,
    MATCH(1,
      ('Dev 조치사항'!$D$6:$D$985=D43)*
      ('Dev 조치사항'!$K$6:$K$985=_xlfn.MAXIFS('Dev 조치사항'!$K$6:$K$985, 'Dev 조치사항'!$D$6:$D$985, D43)),
    0)
  )
)</f>
        <v/>
      </c>
      <c r="K43" s="31">
        <f>_xlfn.MAXIFS('Dev 조치사항'!$K$6:$K$985, 'Dev 조치사항'!$D$6:$D$985, D43)</f>
        <v/>
      </c>
    </row>
    <row r="44" ht="16.5" customHeight="1" s="49">
      <c r="A44" s="42" t="n"/>
      <c r="B44" s="42" t="n"/>
      <c r="C44" s="43" t="inlineStr">
        <is>
          <t>Edit</t>
        </is>
      </c>
      <c r="D44" s="43" t="inlineStr">
        <is>
          <t>AP591_TC_039</t>
        </is>
      </c>
      <c r="E44" s="3" t="inlineStr">
        <is>
          <t>점검항목 목록에서 점검결과·점검값을 수정한다. (Edit)</t>
        </is>
      </c>
      <c r="F44" s="4" t="inlineStr">
        <is>
          <t>점검항목 목록 Edit 클릭 → 점검값 칸 클릭 후 수정 → 저장 → OK</t>
        </is>
      </c>
      <c r="G44" s="3" t="inlineStr">
        <is>
          <t>수정 모드가 되고(저장/취소 버튼), 저장 후 바뀐 점검값이 목록에 표시됨</t>
        </is>
      </c>
      <c r="H44" s="10">
        <f t="array" ref="H44">INDEX('Dev 조치사항'!$H$6:$H$985, MATCH(1, ('Dev 조치사항'!$D$6:$D$985=D44)*('Dev 조치사항'!$K$6:$K$985=_xlfn.MAXIFS('Dev 조치사항'!$K$6:$K$985, 'Dev 조치사항'!$D$6:$D$985, D44)), 0))</f>
        <v/>
      </c>
      <c r="I44" s="11">
        <f t="array" ref="I44">INDEX('Dev 조치사항'!$I$6:$I$985, MATCH(1, ('Dev 조치사항'!$D$6:$D$985=D44)*('Dev 조치사항'!$K$6:$K$985=_xlfn.MAXIFS('Dev 조치사항'!$K$6:$K$985, 'Dev 조치사항'!$D$6:$D$985, D44)), 0))</f>
        <v/>
      </c>
      <c r="J44" s="16">
        <f t="array" ref="J44">IF(
  INDEX('Dev 조치사항'!$J$6:$J$985,
    MATCH(1,
      ('Dev 조치사항'!$D$6:$D$985=D44)*
      ('Dev 조치사항'!$K$6:$K$985=_xlfn.MAXIFS('Dev 조치사항'!$K$6:$K$985, 'Dev 조치사항'!$D$6:$D$985, D44)),
    0)
  ) = "",
  "-",
  INDEX('Dev 조치사항'!$J$6:$J$985,
    MATCH(1,
      ('Dev 조치사항'!$D$6:$D$985=D44)*
      ('Dev 조치사항'!$K$6:$K$985=_xlfn.MAXIFS('Dev 조치사항'!$K$6:$K$985, 'Dev 조치사항'!$D$6:$D$985, D44)),
    0)
  )
)</f>
        <v/>
      </c>
      <c r="K44" s="31">
        <f>_xlfn.MAXIFS('Dev 조치사항'!$K$6:$K$985, 'Dev 조치사항'!$D$6:$D$985, D44)</f>
        <v/>
      </c>
    </row>
    <row r="45" ht="16.5" customHeight="1" s="49">
      <c r="A45" s="42" t="n"/>
      <c r="B45" s="42" t="n"/>
      <c r="C45" s="44" t="n"/>
      <c r="D45" s="43" t="inlineStr">
        <is>
          <t>AP591_TC_040</t>
        </is>
      </c>
      <c r="E45" s="3" t="inlineStr">
        <is>
          <t>점검항목 목록 수정을 취소한다. (Edit)</t>
        </is>
      </c>
      <c r="F45" s="4" t="inlineStr">
        <is>
          <t>Edit 클릭 → 점검값 칸 수정 → 취소</t>
        </is>
      </c>
      <c r="G45" s="3" t="inlineStr">
        <is>
          <t>수정 모드가 끝나고 목록 값이 수정 전으로 돌아감</t>
        </is>
      </c>
      <c r="H45" s="10">
        <f t="array" ref="H45">INDEX('Dev 조치사항'!$H$6:$H$985, MATCH(1, ('Dev 조치사항'!$D$6:$D$985=D45)*('Dev 조치사항'!$K$6:$K$985=_xlfn.MAXIFS('Dev 조치사항'!$K$6:$K$985, 'Dev 조치사항'!$D$6:$D$985, D45)), 0))</f>
        <v/>
      </c>
      <c r="I45" s="11">
        <f t="array" ref="I45">INDEX('Dev 조치사항'!$I$6:$I$985, MATCH(1, ('Dev 조치사항'!$D$6:$D$985=D45)*('Dev 조치사항'!$K$6:$K$985=_xlfn.MAXIFS('Dev 조치사항'!$K$6:$K$985, 'Dev 조치사항'!$D$6:$D$985, D45)), 0))</f>
        <v/>
      </c>
      <c r="J45" s="16">
        <f t="array" ref="J45">IF(
  INDEX('Dev 조치사항'!$J$6:$J$985,
    MATCH(1,
      ('Dev 조치사항'!$D$6:$D$985=D45)*
      ('Dev 조치사항'!$K$6:$K$985=_xlfn.MAXIFS('Dev 조치사항'!$K$6:$K$985, 'Dev 조치사항'!$D$6:$D$985, D45)),
    0)
  ) = "",
  "-",
  INDEX('Dev 조치사항'!$J$6:$J$985,
    MATCH(1,
      ('Dev 조치사항'!$D$6:$D$985=D45)*
      ('Dev 조치사항'!$K$6:$K$985=_xlfn.MAXIFS('Dev 조치사항'!$K$6:$K$985, 'Dev 조치사항'!$D$6:$D$985, D45)),
    0)
  )
)</f>
        <v/>
      </c>
      <c r="K45" s="31">
        <f>_xlfn.MAXIFS('Dev 조치사항'!$K$6:$K$985, 'Dev 조치사항'!$D$6:$D$985, D45)</f>
        <v/>
      </c>
    </row>
    <row r="46" ht="16.5" customHeight="1" s="49">
      <c r="A46" s="42" t="n"/>
      <c r="B46" s="44" t="n"/>
      <c r="C46" s="43" t="inlineStr">
        <is>
          <t>Setting</t>
        </is>
      </c>
      <c r="D46" s="43" t="inlineStr">
        <is>
          <t>AP591_TC_041</t>
        </is>
      </c>
      <c r="E46" s="3" t="inlineStr">
        <is>
          <t>점검항목 목록·상세 Setting 변경이 화면에 반영되는지 확인한다.</t>
        </is>
      </c>
      <c r="F46" s="4" t="inlineStr">
        <is>
          <t>점검항목 목록 Setting(칼럼 Display, 정렬값, 너비), 점검값 상세 Setting(Field 화면표시명, Display) 변경 → 저장 → 확인 → 원래 값으로 되돌림</t>
        </is>
      </c>
      <c r="G46" s="3" t="inlineStr">
        <is>
          <t>변경이 점검항목 목록·점검값 상세에 반영되고, 되돌린 뒤에는 원래 화면과 같음</t>
        </is>
      </c>
      <c r="H46" s="10">
        <f t="array" ref="H46">INDEX('Dev 조치사항'!$H$6:$H$985, MATCH(1, ('Dev 조치사항'!$D$6:$D$985=D46)*('Dev 조치사항'!$K$6:$K$985=_xlfn.MAXIFS('Dev 조치사항'!$K$6:$K$985, 'Dev 조치사항'!$D$6:$D$985, D46)), 0))</f>
        <v/>
      </c>
      <c r="I46" s="11">
        <f t="array" ref="I46">INDEX('Dev 조치사항'!$I$6:$I$985, MATCH(1, ('Dev 조치사항'!$D$6:$D$985=D46)*('Dev 조치사항'!$K$6:$K$985=_xlfn.MAXIFS('Dev 조치사항'!$K$6:$K$985, 'Dev 조치사항'!$D$6:$D$985, D46)), 0))</f>
        <v/>
      </c>
      <c r="J46" s="16">
        <f t="array" ref="J46">IF(
  INDEX('Dev 조치사항'!$J$6:$J$985,
    MATCH(1,
      ('Dev 조치사항'!$D$6:$D$985=D46)*
      ('Dev 조치사항'!$K$6:$K$985=_xlfn.MAXIFS('Dev 조치사항'!$K$6:$K$985, 'Dev 조치사항'!$D$6:$D$985, D46)),
    0)
  ) = "",
  "-",
  INDEX('Dev 조치사항'!$J$6:$J$985,
    MATCH(1,
      ('Dev 조치사항'!$D$6:$D$985=D46)*
      ('Dev 조치사항'!$K$6:$K$985=_xlfn.MAXIFS('Dev 조치사항'!$K$6:$K$985, 'Dev 조치사항'!$D$6:$D$985, D46)),
    0)
  )
)</f>
        <v/>
      </c>
      <c r="K46" s="31">
        <f>_xlfn.MAXIFS('Dev 조치사항'!$K$6:$K$985, 'Dev 조치사항'!$D$6:$D$985, D46)</f>
        <v/>
      </c>
    </row>
    <row r="47" ht="16.5" customHeight="1" s="49">
      <c r="A47" s="42" t="n"/>
      <c r="B47" s="43" t="inlineStr">
        <is>
          <t>표준작업</t>
        </is>
      </c>
      <c r="C47" s="43" t="inlineStr">
        <is>
          <t>탭조회</t>
        </is>
      </c>
      <c r="D47" s="43" t="inlineStr">
        <is>
          <t>AP591_TC_042</t>
        </is>
      </c>
      <c r="E47" s="3" t="inlineStr">
        <is>
          <t>표준작업 목록을 조회하고 Excel로 다운로드한다.</t>
        </is>
      </c>
      <c r="F47" s="4" t="inlineStr">
        <is>
          <t>점검작업 상세 하단 표준작업 탭 확인 → Excel 클릭</t>
        </is>
      </c>
      <c r="G47" s="3" t="inlineStr">
        <is>
          <t>탭 제목 숫자, Total 과 행 수가 일치하고, Excel 파일이 받아짐 (데이터가 없으면 헤더만)</t>
        </is>
      </c>
      <c r="H47" s="10">
        <f t="array" ref="H47">INDEX('Dev 조치사항'!$H$6:$H$985, MATCH(1, ('Dev 조치사항'!$D$6:$D$985=D47)*('Dev 조치사항'!$K$6:$K$985=_xlfn.MAXIFS('Dev 조치사항'!$K$6:$K$985, 'Dev 조치사항'!$D$6:$D$985, D47)), 0))</f>
        <v/>
      </c>
      <c r="I47" s="11">
        <f t="array" ref="I47">INDEX('Dev 조치사항'!$I$6:$I$985, MATCH(1, ('Dev 조치사항'!$D$6:$D$985=D47)*('Dev 조치사항'!$K$6:$K$985=_xlfn.MAXIFS('Dev 조치사항'!$K$6:$K$985, 'Dev 조치사항'!$D$6:$D$985, D47)), 0))</f>
        <v/>
      </c>
      <c r="J47" s="16">
        <f t="array" ref="J47">IF(
  INDEX('Dev 조치사항'!$J$6:$J$985,
    MATCH(1,
      ('Dev 조치사항'!$D$6:$D$985=D47)*
      ('Dev 조치사항'!$K$6:$K$985=_xlfn.MAXIFS('Dev 조치사항'!$K$6:$K$985, 'Dev 조치사항'!$D$6:$D$985, D47)),
    0)
  ) = "",
  "-",
  INDEX('Dev 조치사항'!$J$6:$J$985,
    MATCH(1,
      ('Dev 조치사항'!$D$6:$D$985=D47)*
      ('Dev 조치사항'!$K$6:$K$985=_xlfn.MAXIFS('Dev 조치사항'!$K$6:$K$985, 'Dev 조치사항'!$D$6:$D$985, D47)),
    0)
  )
)</f>
        <v/>
      </c>
      <c r="K47" s="31">
        <f>_xlfn.MAXIFS('Dev 조치사항'!$K$6:$K$985, 'Dev 조치사항'!$D$6:$D$985, D47)</f>
        <v/>
      </c>
    </row>
    <row r="48" ht="16.5" customHeight="1" s="49">
      <c r="A48" s="42" t="n"/>
      <c r="B48" s="43" t="inlineStr">
        <is>
          <t>첨부문서</t>
        </is>
      </c>
      <c r="C48" s="43" t="inlineStr">
        <is>
          <t>탭생성/삭제</t>
        </is>
      </c>
      <c r="D48" s="43" t="inlineStr">
        <is>
          <t>AP591_TC_043</t>
        </is>
      </c>
      <c r="E48" s="3" t="inlineStr">
        <is>
          <t>첨부문서를 등록하고 삭제한다.</t>
        </is>
      </c>
      <c r="F48" s="4" t="inlineStr">
        <is>
          <t>첨부문서 목록의 생성 → 제목 입력, 파일 첨부 → 저장 → 체크 후 삭제</t>
        </is>
      </c>
      <c r="G48" s="3" t="inlineStr">
        <is>
          <t>등록 시 목록에 표시되고, 삭제 시 목록에서 사라짐</t>
        </is>
      </c>
      <c r="H48" s="10">
        <f t="array" ref="H48">INDEX('Dev 조치사항'!$H$6:$H$985, MATCH(1, ('Dev 조치사항'!$D$6:$D$985=D48)*('Dev 조치사항'!$K$6:$K$985=_xlfn.MAXIFS('Dev 조치사항'!$K$6:$K$985, 'Dev 조치사항'!$D$6:$D$985, D48)), 0))</f>
        <v/>
      </c>
      <c r="I48" s="11">
        <f t="array" ref="I48">INDEX('Dev 조치사항'!$I$6:$I$985, MATCH(1, ('Dev 조치사항'!$D$6:$D$985=D48)*('Dev 조치사항'!$K$6:$K$985=_xlfn.MAXIFS('Dev 조치사항'!$K$6:$K$985, 'Dev 조치사항'!$D$6:$D$985, D48)), 0))</f>
        <v/>
      </c>
      <c r="J48" s="16">
        <f t="array" ref="J48">IF(
  INDEX('Dev 조치사항'!$J$6:$J$985,
    MATCH(1,
      ('Dev 조치사항'!$D$6:$D$985=D48)*
      ('Dev 조치사항'!$K$6:$K$985=_xlfn.MAXIFS('Dev 조치사항'!$K$6:$K$985, 'Dev 조치사항'!$D$6:$D$985, D48)),
    0)
  ) = "",
  "-",
  INDEX('Dev 조치사항'!$J$6:$J$985,
    MATCH(1,
      ('Dev 조치사항'!$D$6:$D$985=D48)*
      ('Dev 조치사항'!$K$6:$K$985=_xlfn.MAXIFS('Dev 조치사항'!$K$6:$K$985, 'Dev 조치사항'!$D$6:$D$985, D48)),
    0)
  )
)</f>
        <v/>
      </c>
      <c r="K48" s="31">
        <f>_xlfn.MAXIFS('Dev 조치사항'!$K$6:$K$985, 'Dev 조치사항'!$D$6:$D$985, D48)</f>
        <v/>
      </c>
    </row>
    <row r="49" ht="16.5" customHeight="1" s="49">
      <c r="A49" s="44" t="n"/>
      <c r="B49" s="44" t="n"/>
      <c r="C49" s="43" t="inlineStr">
        <is>
          <t>탭삭제</t>
        </is>
      </c>
      <c r="D49" s="43" t="inlineStr">
        <is>
          <t>AP591_TC_044</t>
        </is>
      </c>
      <c r="E49" s="3" t="inlineStr">
        <is>
          <t>첨부문서를 선택 없이 삭제한다. (체크X)</t>
        </is>
      </c>
      <c r="F49" s="4" t="inlineStr">
        <is>
          <t>체크 없이 삭제 클릭</t>
        </is>
      </c>
      <c r="G49" s="3" t="inlineStr">
        <is>
          <t>"선택된 데이터가 없습니다" 팝업, 삭제되지 않음</t>
        </is>
      </c>
      <c r="H49" s="10">
        <f t="array" ref="H49">INDEX('Dev 조치사항'!$H$6:$H$985, MATCH(1, ('Dev 조치사항'!$D$6:$D$985=D49)*('Dev 조치사항'!$K$6:$K$985=_xlfn.MAXIFS('Dev 조치사항'!$K$6:$K$985, 'Dev 조치사항'!$D$6:$D$985, D49)), 0))</f>
        <v/>
      </c>
      <c r="I49" s="11">
        <f t="array" ref="I49">INDEX('Dev 조치사항'!$I$6:$I$985, MATCH(1, ('Dev 조치사항'!$D$6:$D$985=D49)*('Dev 조치사항'!$K$6:$K$985=_xlfn.MAXIFS('Dev 조치사항'!$K$6:$K$985, 'Dev 조치사항'!$D$6:$D$985, D49)), 0))</f>
        <v/>
      </c>
      <c r="J49" s="16">
        <f t="array" ref="J49">IF(
  INDEX('Dev 조치사항'!$J$6:$J$985,
    MATCH(1,
      ('Dev 조치사항'!$D$6:$D$985=D49)*
      ('Dev 조치사항'!$K$6:$K$985=_xlfn.MAXIFS('Dev 조치사항'!$K$6:$K$985, 'Dev 조치사항'!$D$6:$D$985, D49)),
    0)
  ) = "",
  "-",
  INDEX('Dev 조치사항'!$J$6:$J$985,
    MATCH(1,
      ('Dev 조치사항'!$D$6:$D$985=D49)*
      ('Dev 조치사항'!$K$6:$K$985=_xlfn.MAXIFS('Dev 조치사항'!$K$6:$K$985, 'Dev 조치사항'!$D$6:$D$985, D49)),
    0)
  )
)</f>
        <v/>
      </c>
      <c r="K49" s="31">
        <f>_xlfn.MAXIFS('Dev 조치사항'!$K$6:$K$985, 'Dev 조치사항'!$D$6:$D$985, D49)</f>
        <v/>
      </c>
    </row>
    <row r="52" ht="54" customHeight="1" s="49">
      <c r="A52" s="0" t="inlineStr">
        <is>
          <t>엣지케이스</t>
        </is>
      </c>
    </row>
    <row r="53" ht="40.5" customHeight="1" s="49">
      <c r="A53" s="20" t="inlineStr">
        <is>
          <t>메뉴명</t>
        </is>
      </c>
      <c r="B53" s="21" t="inlineStr">
        <is>
          <t>탭 명</t>
        </is>
      </c>
      <c r="C53" s="20" t="inlineStr">
        <is>
          <t>기능</t>
        </is>
      </c>
      <c r="D53" s="20" t="inlineStr">
        <is>
          <t>테스트ID</t>
        </is>
      </c>
      <c r="E53" s="20" t="inlineStr">
        <is>
          <t>CASE</t>
        </is>
      </c>
      <c r="F53" s="20" t="inlineStr">
        <is>
          <t>STEP</t>
        </is>
      </c>
      <c r="G53" s="20" t="inlineStr">
        <is>
          <t>테스트 예상 결과</t>
        </is>
      </c>
      <c r="H53" s="22" t="inlineStr">
        <is>
          <t>QA</t>
        </is>
      </c>
      <c r="I53" s="22" t="inlineStr">
        <is>
          <t>QA결과 
(정상/오류)</t>
        </is>
      </c>
      <c r="J53" s="22" t="inlineStr">
        <is>
          <t>QA내용</t>
        </is>
      </c>
      <c r="K53" s="12" t="inlineStr">
        <is>
          <t>QA날짜</t>
        </is>
      </c>
    </row>
    <row r="54" ht="16.5" customHeight="1" s="49">
      <c r="A54" s="43" t="inlineStr">
        <is>
          <t>정기점검실행_AP591</t>
        </is>
      </c>
      <c r="B54" s="43" t="inlineStr">
        <is>
          <t>공통</t>
        </is>
      </c>
      <c r="C54" s="43" t="inlineStr">
        <is>
          <t>확정</t>
        </is>
      </c>
      <c r="D54" s="43" t="inlineStr">
        <is>
          <t>AP591_EC_001</t>
        </is>
      </c>
      <c r="E54" s="3" t="inlineStr">
        <is>
          <t>앞날짜 점검작업을 확정한다.</t>
        </is>
      </c>
      <c r="F54" s="4" t="inlineStr">
        <is>
          <t>점검일자가 내일 이후인 작업발행 건 → 확정</t>
        </is>
      </c>
      <c r="G54" s="3" t="inlineStr">
        <is>
          <t>"작업은 미리 완료처리할 수 없습니다" 안내, 확정되지 않음</t>
        </is>
      </c>
      <c r="H54" s="10">
        <f t="array" ref="H54">INDEX('Dev 조치사항'!$H$6:$H$985, MATCH(1, ('Dev 조치사항'!$D$6:$D$985=D54)*('Dev 조치사항'!$K$6:$K$985=_xlfn.MAXIFS('Dev 조치사항'!$K$6:$K$985, 'Dev 조치사항'!$D$6:$D$985, D54)), 0))</f>
        <v/>
      </c>
      <c r="I54" s="11">
        <f t="array" ref="I54">INDEX('Dev 조치사항'!$I$6:$I$985, MATCH(1, ('Dev 조치사항'!$D$6:$D$985=D54)*('Dev 조치사항'!$K$6:$K$985=_xlfn.MAXIFS('Dev 조치사항'!$K$6:$K$985, 'Dev 조치사항'!$D$6:$D$985, D54)), 0))</f>
        <v/>
      </c>
      <c r="J54" s="16">
        <f t="array" ref="J54">IF(
  INDEX('Dev 조치사항'!$J$6:$J$985,
    MATCH(1,
      ('Dev 조치사항'!$D$6:$D$985=D54)*
      ('Dev 조치사항'!$K$6:$K$985=_xlfn.MAXIFS('Dev 조치사항'!$K$6:$K$985, 'Dev 조치사항'!$D$6:$D$985, D54)),
    0)
  ) = "",
  "-",
  INDEX('Dev 조치사항'!$J$6:$J$985,
    MATCH(1,
      ('Dev 조치사항'!$D$6:$D$985=D54)*
      ('Dev 조치사항'!$K$6:$K$985=_xlfn.MAXIFS('Dev 조치사항'!$K$6:$K$985, 'Dev 조치사항'!$D$6:$D$985, D54)),
    0)
  )
)</f>
        <v/>
      </c>
      <c r="K54" s="31">
        <f>_xlfn.MAXIFS('Dev 조치사항'!$K$6:$K$985, 'Dev 조치사항'!$D$6:$D$985, D54)</f>
        <v/>
      </c>
    </row>
    <row r="55" ht="16.5" customHeight="1" s="49">
      <c r="A55" s="42" t="n"/>
      <c r="B55" s="42" t="n"/>
      <c r="C55" s="44" t="n"/>
      <c r="D55" s="43" t="inlineStr">
        <is>
          <t>AP591_EC_002</t>
        </is>
      </c>
      <c r="E55" s="3" t="inlineStr">
        <is>
          <t>수치형 점검값을 비운 채 확정한다.</t>
        </is>
      </c>
      <c r="F55" s="4" t="inlineStr">
        <is>
          <t>점검일자가 지난 작업발행 건에서 수치형 점검항목의 점검값을 비운 채(점검결과는 기본값) 확정</t>
        </is>
      </c>
      <c r="G55" s="3" t="inlineStr">
        <is>
          <t>점검값을 입력해야 확정할 수 있다는 안내, 확정되지 않음 (설계: 점검항목이 있으면 판정 완료 후 확정)</t>
        </is>
      </c>
      <c r="H55" s="10">
        <f t="array" ref="H55">INDEX('Dev 조치사항'!$H$6:$H$985, MATCH(1, ('Dev 조치사항'!$D$6:$D$985=D55)*('Dev 조치사항'!$K$6:$K$985=_xlfn.MAXIFS('Dev 조치사항'!$K$6:$K$985, 'Dev 조치사항'!$D$6:$D$985, D55)), 0))</f>
        <v/>
      </c>
      <c r="I55" s="11">
        <f t="array" ref="I55">INDEX('Dev 조치사항'!$I$6:$I$985, MATCH(1, ('Dev 조치사항'!$D$6:$D$985=D55)*('Dev 조치사항'!$K$6:$K$985=_xlfn.MAXIFS('Dev 조치사항'!$K$6:$K$985, 'Dev 조치사항'!$D$6:$D$985, D55)), 0))</f>
        <v/>
      </c>
      <c r="J55" s="16">
        <f t="array" ref="J55">IF(
  INDEX('Dev 조치사항'!$J$6:$J$985,
    MATCH(1,
      ('Dev 조치사항'!$D$6:$D$985=D55)*
      ('Dev 조치사항'!$K$6:$K$985=_xlfn.MAXIFS('Dev 조치사항'!$K$6:$K$985, 'Dev 조치사항'!$D$6:$D$985, D55)),
    0)
  ) = "",
  "-",
  INDEX('Dev 조치사항'!$J$6:$J$985,
    MATCH(1,
      ('Dev 조치사항'!$D$6:$D$985=D55)*
      ('Dev 조치사항'!$K$6:$K$985=_xlfn.MAXIFS('Dev 조치사항'!$K$6:$K$985, 'Dev 조치사항'!$D$6:$D$985, D55)),
    0)
  )
)</f>
        <v/>
      </c>
      <c r="K55" s="31">
        <f>_xlfn.MAXIFS('Dev 조치사항'!$K$6:$K$985, 'Dev 조치사항'!$D$6:$D$985, D55)</f>
        <v/>
      </c>
    </row>
    <row r="56" ht="16.5" customHeight="1" s="49">
      <c r="A56" s="42" t="n"/>
      <c r="B56" s="42" t="n"/>
      <c r="C56" s="43" t="inlineStr">
        <is>
          <t>수정</t>
        </is>
      </c>
      <c r="D56" s="43" t="inlineStr">
        <is>
          <t>AP591_EC_003</t>
        </is>
      </c>
      <c r="E56" s="3" t="inlineStr">
        <is>
          <t>작업완료 건을 수정한다.</t>
        </is>
      </c>
      <c r="F56" s="4" t="inlineStr">
        <is>
          <t>작업완료 행의 점검작업 상세·점검값 상세에서 값 변경 후 저장, Edit 로 점검값 수정</t>
        </is>
      </c>
      <c r="G56" s="3" t="inlineStr">
        <is>
          <t>수정이 막혀 값이 바뀌지 않음</t>
        </is>
      </c>
      <c r="H56" s="10">
        <f t="array" ref="H56">INDEX('Dev 조치사항'!$H$6:$H$985, MATCH(1, ('Dev 조치사항'!$D$6:$D$985=D56)*('Dev 조치사항'!$K$6:$K$985=_xlfn.MAXIFS('Dev 조치사항'!$K$6:$K$985, 'Dev 조치사항'!$D$6:$D$985, D56)), 0))</f>
        <v/>
      </c>
      <c r="I56" s="11">
        <f t="array" ref="I56">INDEX('Dev 조치사항'!$I$6:$I$985, MATCH(1, ('Dev 조치사항'!$D$6:$D$985=D56)*('Dev 조치사항'!$K$6:$K$985=_xlfn.MAXIFS('Dev 조치사항'!$K$6:$K$985, 'Dev 조치사항'!$D$6:$D$985, D56)), 0))</f>
        <v/>
      </c>
      <c r="J56" s="16">
        <f t="array" ref="J56">IF(
  INDEX('Dev 조치사항'!$J$6:$J$985,
    MATCH(1,
      ('Dev 조치사항'!$D$6:$D$985=D56)*
      ('Dev 조치사항'!$K$6:$K$985=_xlfn.MAXIFS('Dev 조치사항'!$K$6:$K$985, 'Dev 조치사항'!$D$6:$D$985, D56)),
    0)
  ) = "",
  "-",
  INDEX('Dev 조치사항'!$J$6:$J$985,
    MATCH(1,
      ('Dev 조치사항'!$D$6:$D$985=D56)*
      ('Dev 조치사항'!$K$6:$K$985=_xlfn.MAXIFS('Dev 조치사항'!$K$6:$K$985, 'Dev 조치사항'!$D$6:$D$985, D56)),
    0)
  )
)</f>
        <v/>
      </c>
      <c r="K56" s="31">
        <f>_xlfn.MAXIFS('Dev 조치사항'!$K$6:$K$985, 'Dev 조치사항'!$D$6:$D$985, D56)</f>
        <v/>
      </c>
    </row>
    <row r="57" ht="16.5" customHeight="1" s="49">
      <c r="A57" s="42" t="n"/>
      <c r="B57" s="42" t="n"/>
      <c r="C57" s="44" t="n"/>
      <c r="D57" s="43" t="inlineStr">
        <is>
          <t>AP591_EC_004</t>
        </is>
      </c>
      <c r="E57" s="3" t="inlineStr">
        <is>
          <t>점검종료시간을 시작시간보다 앞으로 넣는다.</t>
        </is>
      </c>
      <c r="F57" s="4" t="inlineStr">
        <is>
          <t>점검작업 상세에서 점검종료 &lt; 점검시작 으로 입력 후 저장</t>
        </is>
      </c>
      <c r="G57" s="3" t="inlineStr">
        <is>
          <t>종료가 시작보다 앞이면 종료일자가 지워져 그대로 저장되지 않음 (AD210 사양 확인과 같음)</t>
        </is>
      </c>
      <c r="H57" s="10">
        <f t="array" ref="H57">INDEX('Dev 조치사항'!$H$6:$H$985, MATCH(1, ('Dev 조치사항'!$D$6:$D$985=D57)*('Dev 조치사항'!$K$6:$K$985=_xlfn.MAXIFS('Dev 조치사항'!$K$6:$K$985, 'Dev 조치사항'!$D$6:$D$985, D57)), 0))</f>
        <v/>
      </c>
      <c r="I57" s="11">
        <f t="array" ref="I57">INDEX('Dev 조치사항'!$I$6:$I$985, MATCH(1, ('Dev 조치사항'!$D$6:$D$985=D57)*('Dev 조치사항'!$K$6:$K$985=_xlfn.MAXIFS('Dev 조치사항'!$K$6:$K$985, 'Dev 조치사항'!$D$6:$D$985, D57)), 0))</f>
        <v/>
      </c>
      <c r="J57" s="16">
        <f t="array" ref="J57">IF(
  INDEX('Dev 조치사항'!$J$6:$J$985,
    MATCH(1,
      ('Dev 조치사항'!$D$6:$D$985=D57)*
      ('Dev 조치사항'!$K$6:$K$985=_xlfn.MAXIFS('Dev 조치사항'!$K$6:$K$985, 'Dev 조치사항'!$D$6:$D$985, D57)),
    0)
  ) = "",
  "-",
  INDEX('Dev 조치사항'!$J$6:$J$985,
    MATCH(1,
      ('Dev 조치사항'!$D$6:$D$985=D57)*
      ('Dev 조치사항'!$K$6:$K$985=_xlfn.MAXIFS('Dev 조치사항'!$K$6:$K$985, 'Dev 조치사항'!$D$6:$D$985, D57)),
    0)
  )
)</f>
        <v/>
      </c>
      <c r="K57" s="31">
        <f>_xlfn.MAXIFS('Dev 조치사항'!$K$6:$K$985, 'Dev 조치사항'!$D$6:$D$985, D57)</f>
        <v/>
      </c>
    </row>
    <row r="58" ht="16.5" customHeight="1" s="49">
      <c r="A58" s="42" t="n"/>
      <c r="B58" s="42" t="n"/>
      <c r="C58" s="43" t="inlineStr">
        <is>
          <t>입력검증</t>
        </is>
      </c>
      <c r="D58" s="43" t="inlineStr">
        <is>
          <t>AP591_EC_005</t>
        </is>
      </c>
      <c r="E58" s="3" t="inlineStr">
        <is>
          <t>비고·점검명에 특수문자와 긴 글자를 넣는다.</t>
        </is>
      </c>
      <c r="F58" s="4" t="inlineStr">
        <is>
          <t>점검작업 상세 비고, 점검명에 특수문자(' " &lt; &gt; &amp;)와 최대 길이 초과 문자열 입력 후 저장</t>
        </is>
      </c>
      <c r="G58" s="3" t="inlineStr">
        <is>
          <t>최대 길이 초과는 막히고, 특수문자는 깨지지 않고 저장·표시됨</t>
        </is>
      </c>
      <c r="H58" s="10">
        <f t="array" ref="H58">INDEX('Dev 조치사항'!$H$6:$H$985, MATCH(1, ('Dev 조치사항'!$D$6:$D$985=D58)*('Dev 조치사항'!$K$6:$K$985=_xlfn.MAXIFS('Dev 조치사항'!$K$6:$K$985, 'Dev 조치사항'!$D$6:$D$985, D58)), 0))</f>
        <v/>
      </c>
      <c r="I58" s="11">
        <f t="array" ref="I58">INDEX('Dev 조치사항'!$I$6:$I$985, MATCH(1, ('Dev 조치사항'!$D$6:$D$985=D58)*('Dev 조치사항'!$K$6:$K$985=_xlfn.MAXIFS('Dev 조치사항'!$K$6:$K$985, 'Dev 조치사항'!$D$6:$D$985, D58)), 0))</f>
        <v/>
      </c>
      <c r="J58" s="16">
        <f t="array" ref="J58">IF(
  INDEX('Dev 조치사항'!$J$6:$J$985,
    MATCH(1,
      ('Dev 조치사항'!$D$6:$D$985=D58)*
      ('Dev 조치사항'!$K$6:$K$985=_xlfn.MAXIFS('Dev 조치사항'!$K$6:$K$985, 'Dev 조치사항'!$D$6:$D$985, D58)),
    0)
  ) = "",
  "-",
  INDEX('Dev 조치사항'!$J$6:$J$985,
    MATCH(1,
      ('Dev 조치사항'!$D$6:$D$985=D58)*
      ('Dev 조치사항'!$K$6:$K$985=_xlfn.MAXIFS('Dev 조치사항'!$K$6:$K$985, 'Dev 조치사항'!$D$6:$D$985, D58)),
    0)
  )
)</f>
        <v/>
      </c>
      <c r="K58" s="31">
        <f>_xlfn.MAXIFS('Dev 조치사항'!$K$6:$K$985, 'Dev 조치사항'!$D$6:$D$985, D58)</f>
        <v/>
      </c>
    </row>
    <row r="59" ht="16.5" customHeight="1" s="49">
      <c r="A59" s="42" t="n"/>
      <c r="B59" s="42" t="n"/>
      <c r="C59" s="44" t="n"/>
      <c r="D59" s="43" t="inlineStr">
        <is>
          <t>AP591_EC_006</t>
        </is>
      </c>
      <c r="E59" s="3" t="inlineStr">
        <is>
          <t>수치형 점검값에 숫자가 아닌 값을 넣는다.</t>
        </is>
      </c>
      <c r="F59" s="4" t="inlineStr">
        <is>
          <t>점검값 상세 점검값에 문자(abc), 음수, 아주 큰 수 입력 후 저장</t>
        </is>
      </c>
      <c r="G59" s="3" t="inlineStr">
        <is>
          <t>숫자가 아닌 값은 입력·저장되지 않음</t>
        </is>
      </c>
      <c r="H59" s="10">
        <f t="array" ref="H59">INDEX('Dev 조치사항'!$H$6:$H$985, MATCH(1, ('Dev 조치사항'!$D$6:$D$985=D59)*('Dev 조치사항'!$K$6:$K$985=_xlfn.MAXIFS('Dev 조치사항'!$K$6:$K$985, 'Dev 조치사항'!$D$6:$D$985, D59)), 0))</f>
        <v/>
      </c>
      <c r="I59" s="11">
        <f t="array" ref="I59">INDEX('Dev 조치사항'!$I$6:$I$985, MATCH(1, ('Dev 조치사항'!$D$6:$D$985=D59)*('Dev 조치사항'!$K$6:$K$985=_xlfn.MAXIFS('Dev 조치사항'!$K$6:$K$985, 'Dev 조치사항'!$D$6:$D$985, D59)), 0))</f>
        <v/>
      </c>
      <c r="J59" s="16">
        <f t="array" ref="J59">IF(
  INDEX('Dev 조치사항'!$J$6:$J$985,
    MATCH(1,
      ('Dev 조치사항'!$D$6:$D$985=D59)*
      ('Dev 조치사항'!$K$6:$K$985=_xlfn.MAXIFS('Dev 조치사항'!$K$6:$K$985, 'Dev 조치사항'!$D$6:$D$985, D59)),
    0)
  ) = "",
  "-",
  INDEX('Dev 조치사항'!$J$6:$J$985,
    MATCH(1,
      ('Dev 조치사항'!$D$6:$D$985=D59)*
      ('Dev 조치사항'!$K$6:$K$985=_xlfn.MAXIFS('Dev 조치사항'!$K$6:$K$985, 'Dev 조치사항'!$D$6:$D$985, D59)),
    0)
  )
)</f>
        <v/>
      </c>
      <c r="K59" s="31">
        <f>_xlfn.MAXIFS('Dev 조치사항'!$K$6:$K$985, 'Dev 조치사항'!$D$6:$D$985, D59)</f>
        <v/>
      </c>
    </row>
    <row r="60" ht="16.5" customHeight="1" s="49">
      <c r="A60" s="42" t="n"/>
      <c r="B60" s="42" t="n"/>
      <c r="C60" s="43" t="inlineStr">
        <is>
          <t>조회</t>
        </is>
      </c>
      <c r="D60" s="43" t="inlineStr">
        <is>
          <t>AP591_EC_007</t>
        </is>
      </c>
      <c r="E60" s="3" t="inlineStr">
        <is>
          <t>카렌다 숫자와 목록(조건) 건수를 맞춰 본다.</t>
        </is>
      </c>
      <c r="F60" s="4" t="inlineStr">
        <is>
          <t>같은 달로 카렌다(월간) 날짜 T 숫자 합과 목록(조건) 같은 기간 검색 Total 비교</t>
        </is>
      </c>
      <c r="G60" s="3" t="inlineStr">
        <is>
          <t>두 화면의 건수가 같음</t>
        </is>
      </c>
      <c r="H60" s="10">
        <f t="array" ref="H60">INDEX('Dev 조치사항'!$H$6:$H$985, MATCH(1, ('Dev 조치사항'!$D$6:$D$985=D60)*('Dev 조치사항'!$K$6:$K$985=_xlfn.MAXIFS('Dev 조치사항'!$K$6:$K$985, 'Dev 조치사항'!$D$6:$D$985, D60)), 0))</f>
        <v/>
      </c>
      <c r="I60" s="11">
        <f t="array" ref="I60">INDEX('Dev 조치사항'!$I$6:$I$985, MATCH(1, ('Dev 조치사항'!$D$6:$D$985=D60)*('Dev 조치사항'!$K$6:$K$985=_xlfn.MAXIFS('Dev 조치사항'!$K$6:$K$985, 'Dev 조치사항'!$D$6:$D$985, D60)), 0))</f>
        <v/>
      </c>
      <c r="J60" s="16">
        <f t="array" ref="J60">IF(
  INDEX('Dev 조치사항'!$J$6:$J$985,
    MATCH(1,
      ('Dev 조치사항'!$D$6:$D$985=D60)*
      ('Dev 조치사항'!$K$6:$K$985=_xlfn.MAXIFS('Dev 조치사항'!$K$6:$K$985, 'Dev 조치사항'!$D$6:$D$985, D60)),
    0)
  ) = "",
  "-",
  INDEX('Dev 조치사항'!$J$6:$J$985,
    MATCH(1,
      ('Dev 조치사항'!$D$6:$D$985=D60)*
      ('Dev 조치사항'!$K$6:$K$985=_xlfn.MAXIFS('Dev 조치사항'!$K$6:$K$985, 'Dev 조치사항'!$D$6:$D$985, D60)),
    0)
  )
)</f>
        <v/>
      </c>
      <c r="K60" s="31">
        <f>_xlfn.MAXIFS('Dev 조치사항'!$K$6:$K$985, 'Dev 조치사항'!$D$6:$D$985, D60)</f>
        <v/>
      </c>
    </row>
    <row r="61" ht="16.5" customHeight="1" s="49">
      <c r="A61" s="44" t="n"/>
      <c r="B61" s="44" t="n"/>
      <c r="C61" s="43" t="inlineStr">
        <is>
          <t>검색</t>
        </is>
      </c>
      <c r="D61" s="43" t="inlineStr">
        <is>
          <t>AP591_EC_008</t>
        </is>
      </c>
      <c r="E61" s="3" t="inlineStr">
        <is>
          <t>시작일이 종료일보다 늦은 기간으로 검색한다.</t>
        </is>
      </c>
      <c r="F61" s="4" t="inlineStr">
        <is>
          <t>목록(조건) 일정조정 일자 시작 &gt; 끝 으로 입력 후 검색</t>
        </is>
      </c>
      <c r="G61" s="3" t="inlineStr">
        <is>
          <t>안내 팝업이 뜨거나 결과 0건, 스크립트 오류 없음</t>
        </is>
      </c>
      <c r="H61" s="10">
        <f t="array" ref="H61">INDEX('Dev 조치사항'!$H$6:$H$985, MATCH(1, ('Dev 조치사항'!$D$6:$D$985=D61)*('Dev 조치사항'!$K$6:$K$985=_xlfn.MAXIFS('Dev 조치사항'!$K$6:$K$985, 'Dev 조치사항'!$D$6:$D$985, D61)), 0))</f>
        <v/>
      </c>
      <c r="I61" s="11">
        <f t="array" ref="I61">INDEX('Dev 조치사항'!$I$6:$I$985, MATCH(1, ('Dev 조치사항'!$D$6:$D$985=D61)*('Dev 조치사항'!$K$6:$K$985=_xlfn.MAXIFS('Dev 조치사항'!$K$6:$K$985, 'Dev 조치사항'!$D$6:$D$985, D61)), 0))</f>
        <v/>
      </c>
      <c r="J61" s="16">
        <f t="array" ref="J61">IF(
  INDEX('Dev 조치사항'!$J$6:$J$985,
    MATCH(1,
      ('Dev 조치사항'!$D$6:$D$985=D61)*
      ('Dev 조치사항'!$K$6:$K$985=_xlfn.MAXIFS('Dev 조치사항'!$K$6:$K$985, 'Dev 조치사항'!$D$6:$D$985, D61)),
    0)
  ) = "",
  "-",
  INDEX('Dev 조치사항'!$J$6:$J$985,
    MATCH(1,
      ('Dev 조치사항'!$D$6:$D$985=D61)*
      ('Dev 조치사항'!$K$6:$K$985=_xlfn.MAXIFS('Dev 조치사항'!$K$6:$K$985, 'Dev 조치사항'!$D$6:$D$985, D61)),
    0)
  )
)</f>
        <v/>
      </c>
      <c r="K61" s="31">
        <f>_xlfn.MAXIFS('Dev 조치사항'!$K$6:$K$985, 'Dev 조치사항'!$D$6:$D$985, D61)</f>
        <v/>
      </c>
    </row>
    <row r="62" ht="108" customHeight="1" s="49"/>
    <row r="63" ht="108" customHeight="1" s="49"/>
  </sheetData>
  <mergeCells count="23">
    <mergeCell ref="C33:C34"/>
    <mergeCell ref="C29:C30"/>
    <mergeCell ref="A6:A49"/>
    <mergeCell ref="C6:C13"/>
    <mergeCell ref="C54:C55"/>
    <mergeCell ref="B16:B34"/>
    <mergeCell ref="C26:C27"/>
    <mergeCell ref="B14:B15"/>
    <mergeCell ref="C44:C45"/>
    <mergeCell ref="B35:B46"/>
    <mergeCell ref="B48:B49"/>
    <mergeCell ref="C56:C57"/>
    <mergeCell ref="C41:C42"/>
    <mergeCell ref="C31:C32"/>
    <mergeCell ref="A54:A61"/>
    <mergeCell ref="C16:C23"/>
    <mergeCell ref="A2:K2"/>
    <mergeCell ref="B6:B13"/>
    <mergeCell ref="C35:C39"/>
    <mergeCell ref="C24:C25"/>
    <mergeCell ref="C58:C59"/>
    <mergeCell ref="C14:C15"/>
    <mergeCell ref="B54:B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2:P61"/>
  <sheetViews>
    <sheetView tabSelected="1" zoomScale="80" zoomScaleNormal="80" workbookViewId="0">
      <pane xSplit="4" ySplit="5" topLeftCell="G39" activePane="bottomRight" state="frozen"/>
      <selection pane="topRight" activeCell="D1" sqref="D1"/>
      <selection pane="bottomLeft" activeCell="A6" sqref="A6"/>
      <selection pane="bottomRight" activeCell="H44" sqref="H44"/>
    </sheetView>
  </sheetViews>
  <sheetFormatPr baseColWidth="8" defaultColWidth="18.25" defaultRowHeight="16.5"/>
  <cols>
    <col width="15.375" bestFit="1" customWidth="1" style="36" min="1" max="1"/>
    <col width="15.375" customWidth="1" style="36" min="2" max="2"/>
    <col width="9.25" customWidth="1" style="37" min="3" max="3"/>
    <col width="14.5" bestFit="1" customWidth="1" style="37" min="4" max="4"/>
    <col width="60.25" bestFit="1" customWidth="1" style="38" min="5" max="5"/>
    <col width="52.625" customWidth="1" style="38" min="6" max="6"/>
    <col width="54.5" customWidth="1" style="38" min="7" max="7"/>
    <col width="7" bestFit="1" customWidth="1" style="39" min="8" max="8"/>
    <col width="10.75" bestFit="1" customWidth="1" style="40" min="9" max="9"/>
    <col width="32.625" customWidth="1" style="38" min="10" max="10"/>
    <col width="18.25" customWidth="1" style="38" min="11" max="11"/>
    <col width="8.75" bestFit="1" customWidth="1" style="38" min="12" max="12"/>
    <col width="18.25" customWidth="1" style="38" min="13" max="16"/>
    <col width="18.25" customWidth="1" style="49" min="17" max="17"/>
    <col width="18.25" customWidth="1" style="38" min="18" max="18"/>
    <col width="18.25" customWidth="1" style="38" min="19" max="16384"/>
  </cols>
  <sheetData>
    <row r="2" ht="31.5" customHeight="1" s="49">
      <c r="A2" s="35">
        <f>"Dream 4.1 "&amp;CLEAN(A6)&amp;" 단위테스트 실행 로그"</f>
        <v/>
      </c>
    </row>
    <row r="4">
      <c r="A4" s="27" t="inlineStr">
        <is>
          <t>공통</t>
        </is>
      </c>
      <c r="B4" s="28" t="n"/>
      <c r="C4" s="38" t="n"/>
      <c r="D4" s="39" t="n"/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23" t="inlineStr">
        <is>
          <t>QA날짜</t>
        </is>
      </c>
      <c r="L5" s="23" t="inlineStr">
        <is>
          <t>첨부파일</t>
        </is>
      </c>
      <c r="M5" s="24" t="inlineStr">
        <is>
          <t>Dev</t>
        </is>
      </c>
      <c r="N5" s="24" t="inlineStr">
        <is>
          <t>조치결과
(완료/불가/보류)</t>
        </is>
      </c>
      <c r="O5" s="25" t="inlineStr">
        <is>
          <t>조치내용</t>
        </is>
      </c>
      <c r="P5" s="26" t="inlineStr">
        <is>
          <t>조치날짜</t>
        </is>
      </c>
    </row>
    <row r="6" ht="13.5" customHeight="1" s="49">
      <c r="A6" s="43" t="inlineStr">
        <is>
          <t>정기점검실행_AP591</t>
        </is>
      </c>
      <c r="B6" s="43" t="inlineStr">
        <is>
          <t>카렌다(월간), 목록(조건)</t>
        </is>
      </c>
      <c r="C6" s="43" t="inlineStr">
        <is>
          <t>검색</t>
        </is>
      </c>
      <c r="D6" s="43" t="inlineStr">
        <is>
          <t>AP591_TC_001</t>
        </is>
      </c>
      <c r="E6" s="13">
        <f>IFERROR(VLOOKUP($D6, '테스트 케이스'!$D$6:$G$982, 2, FALSE), "")</f>
        <v/>
      </c>
      <c r="F6" s="13">
        <f>IFERROR(VLOOKUP($D6, '테스트 케이스'!$D$6:$G$982, 3, FALSE), "")</f>
        <v/>
      </c>
      <c r="G6" s="13">
        <f>IFERROR(VLOOKUP($D6, '테스트 케이스'!$D$6:$G$982, 4, FALSE), "")</f>
        <v/>
      </c>
      <c r="H6" s="5" t="inlineStr">
        <is>
          <t>최신영</t>
        </is>
      </c>
      <c r="I6" s="15" t="inlineStr">
        <is>
          <t>정상</t>
        </is>
      </c>
      <c r="J6" s="33" t="inlineStr"/>
      <c r="K6" s="51" t="n">
        <v>46316</v>
      </c>
      <c r="L6" s="5" t="inlineStr"/>
      <c r="M6" s="6" t="n"/>
      <c r="N6" s="6" t="n"/>
      <c r="O6" s="6" t="n"/>
      <c r="P6" s="6" t="n"/>
    </row>
    <row r="7" ht="13.5" customHeight="1" s="49">
      <c r="A7" s="42" t="n"/>
      <c r="B7" s="42" t="n"/>
      <c r="C7" s="42" t="n"/>
      <c r="D7" s="43" t="inlineStr">
        <is>
          <t>AP591_TC_002</t>
        </is>
      </c>
      <c r="E7" s="13">
        <f>IFERROR(VLOOKUP($D7, '테스트 케이스'!$D$6:$G$982, 2, FALSE), "")</f>
        <v/>
      </c>
      <c r="F7" s="13">
        <f>IFERROR(VLOOKUP($D7, '테스트 케이스'!$D$6:$G$982, 3, FALSE), "")</f>
        <v/>
      </c>
      <c r="G7" s="13">
        <f>IFERROR(VLOOKUP($D7, '테스트 케이스'!$D$6:$G$982, 4, FALSE), "")</f>
        <v/>
      </c>
      <c r="H7" s="5" t="inlineStr">
        <is>
          <t>최신영</t>
        </is>
      </c>
      <c r="I7" s="15" t="inlineStr">
        <is>
          <t>정상</t>
        </is>
      </c>
      <c r="J7" s="33" t="inlineStr"/>
      <c r="K7" s="51" t="n">
        <v>46316</v>
      </c>
      <c r="L7" s="5" t="inlineStr"/>
      <c r="M7" s="6" t="n"/>
      <c r="N7" s="6" t="n"/>
      <c r="O7" s="6" t="n"/>
      <c r="P7" s="6" t="n"/>
    </row>
    <row r="8" ht="13.5" customHeight="1" s="49">
      <c r="A8" s="42" t="n"/>
      <c r="B8" s="42" t="n"/>
      <c r="C8" s="42" t="n"/>
      <c r="D8" s="43" t="inlineStr">
        <is>
          <t>AP591_TC_003</t>
        </is>
      </c>
      <c r="E8" s="13">
        <f>IFERROR(VLOOKUP($D8, '테스트 케이스'!$D$6:$G$982, 2, FALSE), "")</f>
        <v/>
      </c>
      <c r="F8" s="13">
        <f>IFERROR(VLOOKUP($D8, '테스트 케이스'!$D$6:$G$982, 3, FALSE), "")</f>
        <v/>
      </c>
      <c r="G8" s="13">
        <f>IFERROR(VLOOKUP($D8, '테스트 케이스'!$D$6:$G$982, 4, FALSE), "")</f>
        <v/>
      </c>
      <c r="H8" s="5" t="inlineStr">
        <is>
          <t>최신영</t>
        </is>
      </c>
      <c r="I8" s="15" t="inlineStr">
        <is>
          <t>정상</t>
        </is>
      </c>
      <c r="J8" s="33" t="inlineStr"/>
      <c r="K8" s="51" t="n">
        <v>46316</v>
      </c>
      <c r="L8" s="5" t="inlineStr"/>
      <c r="M8" s="6" t="n"/>
      <c r="N8" s="6" t="n"/>
      <c r="O8" s="6" t="n"/>
      <c r="P8" s="6" t="n"/>
    </row>
    <row r="9" ht="13.5" customHeight="1" s="49">
      <c r="A9" s="42" t="n"/>
      <c r="B9" s="42" t="n"/>
      <c r="C9" s="42" t="n"/>
      <c r="D9" s="43" t="inlineStr">
        <is>
          <t>AP591_TC_004</t>
        </is>
      </c>
      <c r="E9" s="13">
        <f>IFERROR(VLOOKUP($D9, '테스트 케이스'!$D$6:$G$982, 2, FALSE), "")</f>
        <v/>
      </c>
      <c r="F9" s="13">
        <f>IFERROR(VLOOKUP($D9, '테스트 케이스'!$D$6:$G$982, 3, FALSE), "")</f>
        <v/>
      </c>
      <c r="G9" s="13">
        <f>IFERROR(VLOOKUP($D9, '테스트 케이스'!$D$6:$G$982, 4, FALSE), "")</f>
        <v/>
      </c>
      <c r="H9" s="5" t="inlineStr">
        <is>
          <t>최신영</t>
        </is>
      </c>
      <c r="I9" s="15" t="inlineStr">
        <is>
          <t>정상</t>
        </is>
      </c>
      <c r="J9" s="33" t="inlineStr"/>
      <c r="K9" s="51" t="n">
        <v>46316</v>
      </c>
      <c r="L9" s="5" t="inlineStr"/>
      <c r="M9" s="6" t="n"/>
      <c r="N9" s="6" t="n"/>
      <c r="O9" s="6" t="n"/>
      <c r="P9" s="6" t="n"/>
    </row>
    <row r="10" ht="13.5" customHeight="1" s="49">
      <c r="A10" s="42" t="n"/>
      <c r="B10" s="42" t="n"/>
      <c r="C10" s="42" t="n"/>
      <c r="D10" s="43" t="inlineStr">
        <is>
          <t>AP591_TC_005</t>
        </is>
      </c>
      <c r="E10" s="13">
        <f>IFERROR(VLOOKUP($D10, '테스트 케이스'!$D$6:$G$982, 2, FALSE), "")</f>
        <v/>
      </c>
      <c r="F10" s="13">
        <f>IFERROR(VLOOKUP($D10, '테스트 케이스'!$D$6:$G$982, 3, FALSE), "")</f>
        <v/>
      </c>
      <c r="G10" s="13">
        <f>IFERROR(VLOOKUP($D10, '테스트 케이스'!$D$6:$G$982, 4, FALSE), "")</f>
        <v/>
      </c>
      <c r="H10" s="5" t="inlineStr">
        <is>
          <t>최신영</t>
        </is>
      </c>
      <c r="I10" s="15" t="inlineStr">
        <is>
          <t>정상</t>
        </is>
      </c>
      <c r="J10" s="33" t="inlineStr"/>
      <c r="K10" s="51" t="n">
        <v>46316</v>
      </c>
      <c r="L10" s="5" t="inlineStr"/>
      <c r="M10" s="6" t="n"/>
      <c r="N10" s="6" t="n"/>
      <c r="O10" s="6" t="n"/>
      <c r="P10" s="6" t="n"/>
    </row>
    <row r="11" ht="13.5" customHeight="1" s="49">
      <c r="A11" s="42" t="n"/>
      <c r="B11" s="42" t="n"/>
      <c r="C11" s="42" t="n"/>
      <c r="D11" s="43" t="inlineStr">
        <is>
          <t>AP591_TC_006</t>
        </is>
      </c>
      <c r="E11" s="13">
        <f>IFERROR(VLOOKUP($D11, '테스트 케이스'!$D$6:$G$982, 2, FALSE), "")</f>
        <v/>
      </c>
      <c r="F11" s="13">
        <f>IFERROR(VLOOKUP($D11, '테스트 케이스'!$D$6:$G$982, 3, FALSE), "")</f>
        <v/>
      </c>
      <c r="G11" s="13">
        <f>IFERROR(VLOOKUP($D11, '테스트 케이스'!$D$6:$G$982, 4, FALSE), "")</f>
        <v/>
      </c>
      <c r="H11" s="5" t="inlineStr">
        <is>
          <t>최신영</t>
        </is>
      </c>
      <c r="I11" s="15" t="inlineStr">
        <is>
          <t>정상</t>
        </is>
      </c>
      <c r="J11" s="33" t="inlineStr"/>
      <c r="K11" s="51" t="n">
        <v>46316</v>
      </c>
      <c r="L11" s="5" t="inlineStr"/>
      <c r="M11" s="6" t="n"/>
      <c r="N11" s="6" t="n"/>
      <c r="O11" s="6" t="n"/>
      <c r="P11" s="6" t="n"/>
    </row>
    <row r="12" ht="13.5" customHeight="1" s="49">
      <c r="A12" s="42" t="n"/>
      <c r="B12" s="42" t="n"/>
      <c r="C12" s="42" t="n"/>
      <c r="D12" s="43" t="inlineStr">
        <is>
          <t>AP591_TC_007</t>
        </is>
      </c>
      <c r="E12" s="13">
        <f>IFERROR(VLOOKUP($D12, '테스트 케이스'!$D$6:$G$982, 2, FALSE), "")</f>
        <v/>
      </c>
      <c r="F12" s="13">
        <f>IFERROR(VLOOKUP($D12, '테스트 케이스'!$D$6:$G$982, 3, FALSE), "")</f>
        <v/>
      </c>
      <c r="G12" s="13">
        <f>IFERROR(VLOOKUP($D12, '테스트 케이스'!$D$6:$G$982, 4, FALSE), "")</f>
        <v/>
      </c>
      <c r="H12" s="5" t="inlineStr">
        <is>
          <t>최신영</t>
        </is>
      </c>
      <c r="I12" s="15" t="inlineStr">
        <is>
          <t>정상</t>
        </is>
      </c>
      <c r="J12" s="33" t="inlineStr"/>
      <c r="K12" s="51" t="n">
        <v>46316</v>
      </c>
      <c r="L12" s="5" t="inlineStr"/>
      <c r="M12" s="6" t="n"/>
      <c r="N12" s="6" t="n"/>
      <c r="O12" s="6" t="n"/>
      <c r="P12" s="6" t="n"/>
    </row>
    <row r="13" ht="13.5" customHeight="1" s="49">
      <c r="A13" s="42" t="n"/>
      <c r="B13" s="44" t="n"/>
      <c r="C13" s="44" t="n"/>
      <c r="D13" s="43" t="inlineStr">
        <is>
          <t>AP591_TC_008</t>
        </is>
      </c>
      <c r="E13" s="13">
        <f>IFERROR(VLOOKUP($D13, '테스트 케이스'!$D$6:$G$982, 2, FALSE), "")</f>
        <v/>
      </c>
      <c r="F13" s="13">
        <f>IFERROR(VLOOKUP($D13, '테스트 케이스'!$D$6:$G$982, 3, FALSE), "")</f>
        <v/>
      </c>
      <c r="G13" s="13">
        <f>IFERROR(VLOOKUP($D13, '테스트 케이스'!$D$6:$G$982, 4, FALSE), "")</f>
        <v/>
      </c>
      <c r="H13" s="5" t="inlineStr">
        <is>
          <t>최신영</t>
        </is>
      </c>
      <c r="I13" s="15" t="inlineStr">
        <is>
          <t>정상</t>
        </is>
      </c>
      <c r="J13" s="33" t="inlineStr"/>
      <c r="K13" s="51" t="n">
        <v>46316</v>
      </c>
      <c r="L13" s="5" t="inlineStr"/>
      <c r="M13" s="6" t="n"/>
      <c r="N13" s="6" t="n"/>
      <c r="O13" s="6" t="n"/>
      <c r="P13" s="6" t="n"/>
    </row>
    <row r="14" ht="13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AP591_TC_009</t>
        </is>
      </c>
      <c r="E14" s="13">
        <f>IFERROR(VLOOKUP($D14, '테스트 케이스'!$D$6:$G$982, 2, FALSE), "")</f>
        <v/>
      </c>
      <c r="F14" s="13">
        <f>IFERROR(VLOOKUP($D14, '테스트 케이스'!$D$6:$G$982, 3, FALSE), "")</f>
        <v/>
      </c>
      <c r="G14" s="13">
        <f>IFERROR(VLOOKUP($D14, '테스트 케이스'!$D$6:$G$982, 4, FALSE), "")</f>
        <v/>
      </c>
      <c r="H14" s="5" t="inlineStr">
        <is>
          <t>최신영</t>
        </is>
      </c>
      <c r="I14" s="15" t="inlineStr">
        <is>
          <t>정상</t>
        </is>
      </c>
      <c r="J14" s="33" t="inlineStr"/>
      <c r="K14" s="51" t="n">
        <v>46316</v>
      </c>
      <c r="L14" s="5" t="inlineStr"/>
      <c r="M14" s="6" t="n"/>
      <c r="N14" s="6" t="n"/>
      <c r="O14" s="6" t="n"/>
      <c r="P14" s="6" t="n"/>
    </row>
    <row r="15" ht="13.5" customHeight="1" s="49">
      <c r="A15" s="42" t="n"/>
      <c r="B15" s="44" t="n"/>
      <c r="C15" s="44" t="n"/>
      <c r="D15" s="43" t="inlineStr">
        <is>
          <t>AP591_TC_010</t>
        </is>
      </c>
      <c r="E15" s="13">
        <f>IFERROR(VLOOKUP($D15, '테스트 케이스'!$D$6:$G$982, 2, FALSE), "")</f>
        <v/>
      </c>
      <c r="F15" s="13">
        <f>IFERROR(VLOOKUP($D15, '테스트 케이스'!$D$6:$G$982, 3, FALSE), "")</f>
        <v/>
      </c>
      <c r="G15" s="13">
        <f>IFERROR(VLOOKUP($D15, '테스트 케이스'!$D$6:$G$982, 4, FALSE), "")</f>
        <v/>
      </c>
      <c r="H15" s="5" t="inlineStr">
        <is>
          <t>최신영</t>
        </is>
      </c>
      <c r="I15" s="15" t="inlineStr">
        <is>
          <t>정상</t>
        </is>
      </c>
      <c r="J15" s="33" t="inlineStr"/>
      <c r="K15" s="51" t="n">
        <v>46316</v>
      </c>
      <c r="L15" s="5" t="inlineStr"/>
      <c r="M15" s="6" t="n"/>
      <c r="N15" s="6" t="n"/>
      <c r="O15" s="6" t="n"/>
      <c r="P15" s="6" t="n"/>
    </row>
    <row r="16" ht="13.5" customHeight="1" s="49">
      <c r="A16" s="42" t="n"/>
      <c r="B16" s="43" t="inlineStr">
        <is>
          <t>카렌다(월간), 목록(조건)</t>
        </is>
      </c>
      <c r="C16" s="43" t="inlineStr">
        <is>
          <t>조회</t>
        </is>
      </c>
      <c r="D16" s="43" t="inlineStr">
        <is>
          <t>AP591_TC_011</t>
        </is>
      </c>
      <c r="E16" s="13">
        <f>IFERROR(VLOOKUP($D16, '테스트 케이스'!$D$6:$G$982, 2, FALSE), "")</f>
        <v/>
      </c>
      <c r="F16" s="13">
        <f>IFERROR(VLOOKUP($D16, '테스트 케이스'!$D$6:$G$982, 3, FALSE), "")</f>
        <v/>
      </c>
      <c r="G16" s="13">
        <f>IFERROR(VLOOKUP($D16, '테스트 케이스'!$D$6:$G$982, 4, FALSE), "")</f>
        <v/>
      </c>
      <c r="H16" s="5" t="inlineStr">
        <is>
          <t>최신영</t>
        </is>
      </c>
      <c r="I16" s="15" t="inlineStr">
        <is>
          <t>정상</t>
        </is>
      </c>
      <c r="J16" s="33" t="inlineStr"/>
      <c r="K16" s="51" t="n">
        <v>46316</v>
      </c>
      <c r="L16" s="5" t="inlineStr"/>
      <c r="M16" s="6" t="n"/>
      <c r="N16" s="6" t="n"/>
      <c r="O16" s="6" t="n"/>
      <c r="P16" s="6" t="n"/>
    </row>
    <row r="17" ht="13.5" customHeight="1" s="49">
      <c r="A17" s="42" t="n"/>
      <c r="B17" s="42" t="n"/>
      <c r="C17" s="42" t="n"/>
      <c r="D17" s="43" t="inlineStr">
        <is>
          <t>AP591_TC_012</t>
        </is>
      </c>
      <c r="E17" s="13">
        <f>IFERROR(VLOOKUP($D17, '테스트 케이스'!$D$6:$G$982, 2, FALSE), "")</f>
        <v/>
      </c>
      <c r="F17" s="13">
        <f>IFERROR(VLOOKUP($D17, '테스트 케이스'!$D$6:$G$982, 3, FALSE), "")</f>
        <v/>
      </c>
      <c r="G17" s="13">
        <f>IFERROR(VLOOKUP($D17, '테스트 케이스'!$D$6:$G$982, 4, FALSE), "")</f>
        <v/>
      </c>
      <c r="H17" s="5" t="inlineStr">
        <is>
          <t>최신영</t>
        </is>
      </c>
      <c r="I17" s="15" t="inlineStr">
        <is>
          <t>정상</t>
        </is>
      </c>
      <c r="J17" s="33" t="inlineStr"/>
      <c r="K17" s="51" t="n">
        <v>46316</v>
      </c>
      <c r="L17" s="5" t="inlineStr"/>
      <c r="M17" s="6" t="n"/>
      <c r="N17" s="6" t="n"/>
      <c r="O17" s="6" t="n"/>
      <c r="P17" s="6" t="n"/>
    </row>
    <row r="18" ht="13.5" customHeight="1" s="49">
      <c r="A18" s="42" t="n"/>
      <c r="B18" s="42" t="n"/>
      <c r="C18" s="42" t="n"/>
      <c r="D18" s="43" t="inlineStr">
        <is>
          <t>AP591_TC_013</t>
        </is>
      </c>
      <c r="E18" s="13">
        <f>IFERROR(VLOOKUP($D18, '테스트 케이스'!$D$6:$G$982, 2, FALSE), "")</f>
        <v/>
      </c>
      <c r="F18" s="13">
        <f>IFERROR(VLOOKUP($D18, '테스트 케이스'!$D$6:$G$982, 3, FALSE), "")</f>
        <v/>
      </c>
      <c r="G18" s="13">
        <f>IFERROR(VLOOKUP($D18, '테스트 케이스'!$D$6:$G$982, 4, FALSE), "")</f>
        <v/>
      </c>
      <c r="H18" s="5" t="inlineStr">
        <is>
          <t>최신영</t>
        </is>
      </c>
      <c r="I18" s="15" t="inlineStr">
        <is>
          <t>정상</t>
        </is>
      </c>
      <c r="J18" s="33" t="inlineStr"/>
      <c r="K18" s="51" t="n">
        <v>46316</v>
      </c>
      <c r="L18" s="5" t="inlineStr"/>
      <c r="M18" s="6" t="n"/>
      <c r="N18" s="6" t="n"/>
      <c r="O18" s="6" t="n"/>
      <c r="P18" s="6" t="n"/>
    </row>
    <row r="19" ht="13.5" customHeight="1" s="49">
      <c r="A19" s="42" t="n"/>
      <c r="B19" s="42" t="n"/>
      <c r="C19" s="42" t="n"/>
      <c r="D19" s="43" t="inlineStr">
        <is>
          <t>AP591_TC_014</t>
        </is>
      </c>
      <c r="E19" s="13">
        <f>IFERROR(VLOOKUP($D19, '테스트 케이스'!$D$6:$G$982, 2, FALSE), "")</f>
        <v/>
      </c>
      <c r="F19" s="13">
        <f>IFERROR(VLOOKUP($D19, '테스트 케이스'!$D$6:$G$982, 3, FALSE), "")</f>
        <v/>
      </c>
      <c r="G19" s="13">
        <f>IFERROR(VLOOKUP($D19, '테스트 케이스'!$D$6:$G$982, 4, FALSE), "")</f>
        <v/>
      </c>
      <c r="H19" s="5" t="inlineStr">
        <is>
          <t>최신영</t>
        </is>
      </c>
      <c r="I19" s="15" t="inlineStr">
        <is>
          <t>정상</t>
        </is>
      </c>
      <c r="J19" s="33" t="inlineStr"/>
      <c r="K19" s="51" t="n">
        <v>46316</v>
      </c>
      <c r="L19" s="5" t="inlineStr"/>
      <c r="M19" s="6" t="n"/>
      <c r="N19" s="6" t="n"/>
      <c r="O19" s="6" t="n"/>
      <c r="P19" s="6" t="n"/>
    </row>
    <row r="20" ht="13.5" customHeight="1" s="49">
      <c r="A20" s="42" t="n"/>
      <c r="B20" s="42" t="n"/>
      <c r="C20" s="42" t="n"/>
      <c r="D20" s="43" t="inlineStr">
        <is>
          <t>AP591_TC_015</t>
        </is>
      </c>
      <c r="E20" s="13">
        <f>IFERROR(VLOOKUP($D20, '테스트 케이스'!$D$6:$G$982, 2, FALSE), "")</f>
        <v/>
      </c>
      <c r="F20" s="13">
        <f>IFERROR(VLOOKUP($D20, '테스트 케이스'!$D$6:$G$982, 3, FALSE), "")</f>
        <v/>
      </c>
      <c r="G20" s="13">
        <f>IFERROR(VLOOKUP($D20, '테스트 케이스'!$D$6:$G$982, 4, FALSE), "")</f>
        <v/>
      </c>
      <c r="H20" s="5" t="inlineStr">
        <is>
          <t>최신영</t>
        </is>
      </c>
      <c r="I20" s="15" t="inlineStr">
        <is>
          <t>정상</t>
        </is>
      </c>
      <c r="J20" s="33" t="inlineStr"/>
      <c r="K20" s="51" t="n">
        <v>46316</v>
      </c>
      <c r="L20" s="5" t="inlineStr"/>
      <c r="M20" s="6" t="n"/>
      <c r="N20" s="6" t="n"/>
      <c r="O20" s="6" t="n"/>
      <c r="P20" s="6" t="n"/>
    </row>
    <row r="21" ht="13.5" customHeight="1" s="49">
      <c r="A21" s="42" t="n"/>
      <c r="B21" s="42" t="n"/>
      <c r="C21" s="42" t="n"/>
      <c r="D21" s="43" t="inlineStr">
        <is>
          <t>AP591_TC_016</t>
        </is>
      </c>
      <c r="E21" s="13">
        <f>IFERROR(VLOOKUP($D21, '테스트 케이스'!$D$6:$G$982, 2, FALSE), "")</f>
        <v/>
      </c>
      <c r="F21" s="13">
        <f>IFERROR(VLOOKUP($D21, '테스트 케이스'!$D$6:$G$982, 3, FALSE), "")</f>
        <v/>
      </c>
      <c r="G21" s="13">
        <f>IFERROR(VLOOKUP($D21, '테스트 케이스'!$D$6:$G$982, 4, FALSE), "")</f>
        <v/>
      </c>
      <c r="H21" s="5" t="inlineStr">
        <is>
          <t>최신영</t>
        </is>
      </c>
      <c r="I21" s="15" t="inlineStr">
        <is>
          <t>정상</t>
        </is>
      </c>
      <c r="J21" s="33" t="inlineStr"/>
      <c r="K21" s="51" t="n">
        <v>46316</v>
      </c>
      <c r="L21" s="5" t="inlineStr"/>
      <c r="M21" s="6" t="n"/>
      <c r="N21" s="6" t="n"/>
      <c r="O21" s="6" t="n"/>
      <c r="P21" s="6" t="n"/>
    </row>
    <row r="22" ht="13.5" customHeight="1" s="49">
      <c r="A22" s="42" t="n"/>
      <c r="B22" s="42" t="n"/>
      <c r="C22" s="42" t="n"/>
      <c r="D22" s="43" t="inlineStr">
        <is>
          <t>AP591_TC_017</t>
        </is>
      </c>
      <c r="E22" s="13">
        <f>IFERROR(VLOOKUP($D22, '테스트 케이스'!$D$6:$G$982, 2, FALSE), "")</f>
        <v/>
      </c>
      <c r="F22" s="13">
        <f>IFERROR(VLOOKUP($D22, '테스트 케이스'!$D$6:$G$982, 3, FALSE), "")</f>
        <v/>
      </c>
      <c r="G22" s="13">
        <f>IFERROR(VLOOKUP($D22, '테스트 케이스'!$D$6:$G$982, 4, FALSE), "")</f>
        <v/>
      </c>
      <c r="H22" s="5" t="inlineStr">
        <is>
          <t>최신영</t>
        </is>
      </c>
      <c r="I22" s="15" t="inlineStr">
        <is>
          <t>정상</t>
        </is>
      </c>
      <c r="J22" s="33" t="inlineStr"/>
      <c r="K22" s="51" t="n">
        <v>46316</v>
      </c>
      <c r="L22" s="5" t="inlineStr"/>
      <c r="M22" s="6" t="n"/>
      <c r="N22" s="6" t="n"/>
      <c r="O22" s="6" t="n"/>
      <c r="P22" s="6" t="n"/>
    </row>
    <row r="23" ht="13.5" customHeight="1" s="49">
      <c r="A23" s="42" t="n"/>
      <c r="B23" s="42" t="n"/>
      <c r="C23" s="44" t="n"/>
      <c r="D23" s="43" t="inlineStr">
        <is>
          <t>AP591_TC_018</t>
        </is>
      </c>
      <c r="E23" s="13">
        <f>IFERROR(VLOOKUP($D23, '테스트 케이스'!$D$6:$G$982, 2, FALSE), "")</f>
        <v/>
      </c>
      <c r="F23" s="13">
        <f>IFERROR(VLOOKUP($D23, '테스트 케이스'!$D$6:$G$982, 3, FALSE), "")</f>
        <v/>
      </c>
      <c r="G23" s="13">
        <f>IFERROR(VLOOKUP($D23, '테스트 케이스'!$D$6:$G$982, 4, FALSE), "")</f>
        <v/>
      </c>
      <c r="H23" s="5" t="inlineStr">
        <is>
          <t>최신영</t>
        </is>
      </c>
      <c r="I23" s="15" t="inlineStr">
        <is>
          <t>정상</t>
        </is>
      </c>
      <c r="J23" s="33" t="inlineStr"/>
      <c r="K23" s="51" t="n">
        <v>46316</v>
      </c>
      <c r="L23" s="5" t="inlineStr"/>
      <c r="M23" s="6" t="n"/>
      <c r="N23" s="6" t="n"/>
      <c r="O23" s="6" t="n"/>
      <c r="P23" s="6" t="n"/>
    </row>
    <row r="24" ht="13.5" customHeight="1" s="49">
      <c r="A24" s="42" t="n"/>
      <c r="B24" s="42" t="n"/>
      <c r="C24" s="43" t="inlineStr">
        <is>
          <t>닫기</t>
        </is>
      </c>
      <c r="D24" s="43" t="inlineStr">
        <is>
          <t>AP591_TC_019</t>
        </is>
      </c>
      <c r="E24" s="13">
        <f>IFERROR(VLOOKUP($D24, '테스트 케이스'!$D$6:$G$982, 2, FALSE), "")</f>
        <v/>
      </c>
      <c r="F24" s="13">
        <f>IFERROR(VLOOKUP($D24, '테스트 케이스'!$D$6:$G$982, 3, FALSE), "")</f>
        <v/>
      </c>
      <c r="G24" s="13">
        <f>IFERROR(VLOOKUP($D24, '테스트 케이스'!$D$6:$G$982, 4, FALSE), "")</f>
        <v/>
      </c>
      <c r="H24" s="5" t="inlineStr">
        <is>
          <t>최신영</t>
        </is>
      </c>
      <c r="I24" s="15" t="inlineStr">
        <is>
          <t>정상</t>
        </is>
      </c>
      <c r="J24" s="33" t="inlineStr"/>
      <c r="K24" s="51" t="n">
        <v>46316</v>
      </c>
      <c r="L24" s="5" t="inlineStr"/>
      <c r="M24" s="6" t="n"/>
      <c r="N24" s="6" t="n"/>
      <c r="O24" s="6" t="n"/>
      <c r="P24" s="6" t="n"/>
    </row>
    <row r="25" ht="13.5" customHeight="1" s="49">
      <c r="A25" s="42" t="n"/>
      <c r="B25" s="42" t="n"/>
      <c r="C25" s="44" t="n"/>
      <c r="D25" s="43" t="inlineStr">
        <is>
          <t>AP591_TC_020</t>
        </is>
      </c>
      <c r="E25" s="13">
        <f>IFERROR(VLOOKUP($D25, '테스트 케이스'!$D$6:$G$982, 2, FALSE), "")</f>
        <v/>
      </c>
      <c r="F25" s="13">
        <f>IFERROR(VLOOKUP($D25, '테스트 케이스'!$D$6:$G$982, 3, FALSE), "")</f>
        <v/>
      </c>
      <c r="G25" s="13">
        <f>IFERROR(VLOOKUP($D25, '테스트 케이스'!$D$6:$G$982, 4, FALSE), "")</f>
        <v/>
      </c>
      <c r="H25" s="5" t="inlineStr">
        <is>
          <t>최신영</t>
        </is>
      </c>
      <c r="I25" s="15" t="inlineStr">
        <is>
          <t>정상</t>
        </is>
      </c>
      <c r="J25" s="33" t="inlineStr"/>
      <c r="K25" s="51" t="n">
        <v>46316</v>
      </c>
      <c r="L25" s="5" t="inlineStr"/>
      <c r="M25" s="6" t="n"/>
      <c r="N25" s="6" t="n"/>
      <c r="O25" s="6" t="n"/>
      <c r="P25" s="6" t="n"/>
    </row>
    <row r="26" ht="13.5" customHeight="1" s="49">
      <c r="A26" s="42" t="n"/>
      <c r="B26" s="42" t="n"/>
      <c r="C26" s="43" t="inlineStr">
        <is>
          <t>수정</t>
        </is>
      </c>
      <c r="D26" s="43" t="inlineStr">
        <is>
          <t>AP591_TC_021</t>
        </is>
      </c>
      <c r="E26" s="13">
        <f>IFERROR(VLOOKUP($D26, '테스트 케이스'!$D$6:$G$982, 2, FALSE), "")</f>
        <v/>
      </c>
      <c r="F26" s="13">
        <f>IFERROR(VLOOKUP($D26, '테스트 케이스'!$D$6:$G$982, 3, FALSE), "")</f>
        <v/>
      </c>
      <c r="G26" s="13">
        <f>IFERROR(VLOOKUP($D26, '테스트 케이스'!$D$6:$G$982, 4, FALSE), "")</f>
        <v/>
      </c>
      <c r="H26" s="5" t="inlineStr">
        <is>
          <t>최신영</t>
        </is>
      </c>
      <c r="I26" s="15" t="inlineStr">
        <is>
          <t>정상</t>
        </is>
      </c>
      <c r="J26" s="33" t="inlineStr"/>
      <c r="K26" s="51" t="n">
        <v>46316</v>
      </c>
      <c r="L26" s="5" t="inlineStr"/>
      <c r="M26" s="6" t="n"/>
      <c r="N26" s="6" t="n"/>
      <c r="O26" s="6" t="n"/>
      <c r="P26" s="6" t="n"/>
    </row>
    <row r="27" ht="13.5" customHeight="1" s="49">
      <c r="A27" s="42" t="n"/>
      <c r="B27" s="42" t="n"/>
      <c r="C27" s="44" t="n"/>
      <c r="D27" s="43" t="inlineStr">
        <is>
          <t>AP591_TC_022</t>
        </is>
      </c>
      <c r="E27" s="13">
        <f>IFERROR(VLOOKUP($D27, '테스트 케이스'!$D$6:$G$982, 2, FALSE), "")</f>
        <v/>
      </c>
      <c r="F27" s="13">
        <f>IFERROR(VLOOKUP($D27, '테스트 케이스'!$D$6:$G$982, 3, FALSE), "")</f>
        <v/>
      </c>
      <c r="G27" s="13">
        <f>IFERROR(VLOOKUP($D27, '테스트 케이스'!$D$6:$G$982, 4, FALSE), "")</f>
        <v/>
      </c>
      <c r="H27" s="5" t="inlineStr">
        <is>
          <t>최신영</t>
        </is>
      </c>
      <c r="I27" s="15" t="inlineStr">
        <is>
          <t>정상</t>
        </is>
      </c>
      <c r="J27" s="33" t="inlineStr"/>
      <c r="K27" s="51" t="n">
        <v>46316</v>
      </c>
      <c r="L27" s="5" t="inlineStr"/>
      <c r="M27" s="6" t="n"/>
      <c r="N27" s="6" t="n"/>
      <c r="O27" s="6" t="n"/>
      <c r="P27" s="6" t="n"/>
    </row>
    <row r="28" ht="13.5" customHeight="1" s="49">
      <c r="A28" s="42" t="n"/>
      <c r="B28" s="42" t="n"/>
      <c r="C28" s="43" t="inlineStr">
        <is>
          <t>Excel</t>
        </is>
      </c>
      <c r="D28" s="43" t="inlineStr">
        <is>
          <t>AP591_TC_023</t>
        </is>
      </c>
      <c r="E28" s="13">
        <f>IFERROR(VLOOKUP($D28, '테스트 케이스'!$D$6:$G$982, 2, FALSE), "")</f>
        <v/>
      </c>
      <c r="F28" s="13">
        <f>IFERROR(VLOOKUP($D28, '테스트 케이스'!$D$6:$G$982, 3, FALSE), "")</f>
        <v/>
      </c>
      <c r="G28" s="13">
        <f>IFERROR(VLOOKUP($D28, '테스트 케이스'!$D$6:$G$982, 4, FALSE), "")</f>
        <v/>
      </c>
      <c r="H28" s="5" t="inlineStr">
        <is>
          <t>최신영</t>
        </is>
      </c>
      <c r="I28" s="15" t="inlineStr">
        <is>
          <t>정상</t>
        </is>
      </c>
      <c r="J28" s="33" t="inlineStr"/>
      <c r="K28" s="51" t="n">
        <v>46316</v>
      </c>
      <c r="L28" s="5" t="inlineStr"/>
      <c r="M28" s="6" t="n"/>
      <c r="N28" s="6" t="n"/>
      <c r="O28" s="6" t="n"/>
      <c r="P28" s="6" t="n"/>
    </row>
    <row r="29" ht="13.5" customHeight="1" s="49">
      <c r="A29" s="42" t="n"/>
      <c r="B29" s="42" t="n"/>
      <c r="C29" s="43" t="inlineStr">
        <is>
          <t>Setting</t>
        </is>
      </c>
      <c r="D29" s="43" t="inlineStr">
        <is>
          <t>AP591_TC_024</t>
        </is>
      </c>
      <c r="E29" s="13">
        <f>IFERROR(VLOOKUP($D29, '테스트 케이스'!$D$6:$G$982, 2, FALSE), "")</f>
        <v/>
      </c>
      <c r="F29" s="13">
        <f>IFERROR(VLOOKUP($D29, '테스트 케이스'!$D$6:$G$982, 3, FALSE), "")</f>
        <v/>
      </c>
      <c r="G29" s="13">
        <f>IFERROR(VLOOKUP($D29, '테스트 케이스'!$D$6:$G$982, 4, FALSE), "")</f>
        <v/>
      </c>
      <c r="H29" s="5" t="inlineStr">
        <is>
          <t>최신영</t>
        </is>
      </c>
      <c r="I29" s="15" t="inlineStr">
        <is>
          <t>오류</t>
        </is>
      </c>
      <c r="J29" s="33" t="inlineStr">
        <is>
          <t>카렌다(월간) 검색 Setting 에서 담당자·작업명이 Display Y 인데 검색 영역에 보이지 않음.
→ 기대: Display Y 필드는 검색 영역에 표시 (목록(조건)·상세 Field 설정, Tab 설정과 [초기화]는 정상)</t>
        </is>
      </c>
      <c r="K29" s="51" t="n">
        <v>46316</v>
      </c>
      <c r="L29" s="5" t="inlineStr">
        <is>
          <t>ap591-TC_024-setting.png</t>
        </is>
      </c>
      <c r="M29" s="6" t="n"/>
      <c r="N29" s="6" t="n"/>
      <c r="O29" s="6" t="n"/>
      <c r="P29" s="6" t="n"/>
    </row>
    <row r="30" ht="13.5" customHeight="1" s="49">
      <c r="A30" s="42" t="n"/>
      <c r="B30" s="42" t="n"/>
      <c r="C30" s="44" t="n"/>
      <c r="D30" s="43" t="inlineStr">
        <is>
          <t>AP591_TC_025</t>
        </is>
      </c>
      <c r="E30" s="13">
        <f>IFERROR(VLOOKUP($D30, '테스트 케이스'!$D$6:$G$982, 2, FALSE), "")</f>
        <v/>
      </c>
      <c r="F30" s="13">
        <f>IFERROR(VLOOKUP($D30, '테스트 케이스'!$D$6:$G$982, 3, FALSE), "")</f>
        <v/>
      </c>
      <c r="G30" s="13">
        <f>IFERROR(VLOOKUP($D30, '테스트 케이스'!$D$6:$G$982, 4, FALSE), "")</f>
        <v/>
      </c>
      <c r="H30" s="5" t="inlineStr">
        <is>
          <t>최신영</t>
        </is>
      </c>
      <c r="I30" s="15" t="inlineStr">
        <is>
          <t>정상</t>
        </is>
      </c>
      <c r="J30" s="33" t="inlineStr"/>
      <c r="K30" s="51" t="n">
        <v>46316</v>
      </c>
      <c r="L30" s="5" t="inlineStr"/>
      <c r="M30" s="6" t="n"/>
      <c r="N30" s="6" t="n"/>
      <c r="O30" s="6" t="n"/>
      <c r="P30" s="6" t="n"/>
    </row>
    <row r="31" ht="13.5" customHeight="1" s="49">
      <c r="A31" s="42" t="n"/>
      <c r="B31" s="42" t="n"/>
      <c r="C31" s="43" t="inlineStr">
        <is>
          <t>확정</t>
        </is>
      </c>
      <c r="D31" s="43" t="inlineStr">
        <is>
          <t>AP591_TC_026</t>
        </is>
      </c>
      <c r="E31" s="13">
        <f>IFERROR(VLOOKUP($D31, '테스트 케이스'!$D$6:$G$982, 2, FALSE), "")</f>
        <v/>
      </c>
      <c r="F31" s="13">
        <f>IFERROR(VLOOKUP($D31, '테스트 케이스'!$D$6:$G$982, 3, FALSE), "")</f>
        <v/>
      </c>
      <c r="G31" s="13">
        <f>IFERROR(VLOOKUP($D31, '테스트 케이스'!$D$6:$G$982, 4, FALSE), "")</f>
        <v/>
      </c>
      <c r="H31" s="5" t="inlineStr">
        <is>
          <t>최신영</t>
        </is>
      </c>
      <c r="I31" s="15" t="inlineStr">
        <is>
          <t>정상</t>
        </is>
      </c>
      <c r="J31" s="33" t="inlineStr"/>
      <c r="K31" s="51" t="n">
        <v>46316</v>
      </c>
      <c r="L31" s="5" t="inlineStr"/>
      <c r="M31" s="6" t="n"/>
      <c r="N31" s="6" t="n"/>
      <c r="O31" s="6" t="n"/>
      <c r="P31" s="6" t="n"/>
    </row>
    <row r="32" ht="13.5" customHeight="1" s="49">
      <c r="A32" s="42" t="n"/>
      <c r="B32" s="42" t="n"/>
      <c r="C32" s="44" t="n"/>
      <c r="D32" s="43" t="inlineStr">
        <is>
          <t>AP591_TC_027</t>
        </is>
      </c>
      <c r="E32" s="13">
        <f>IFERROR(VLOOKUP($D32, '테스트 케이스'!$D$6:$G$982, 2, FALSE), "")</f>
        <v/>
      </c>
      <c r="F32" s="13">
        <f>IFERROR(VLOOKUP($D32, '테스트 케이스'!$D$6:$G$982, 3, FALSE), "")</f>
        <v/>
      </c>
      <c r="G32" s="13">
        <f>IFERROR(VLOOKUP($D32, '테스트 케이스'!$D$6:$G$982, 4, FALSE), "")</f>
        <v/>
      </c>
      <c r="H32" s="5" t="inlineStr">
        <is>
          <t>최신영</t>
        </is>
      </c>
      <c r="I32" s="15" t="inlineStr">
        <is>
          <t>정상</t>
        </is>
      </c>
      <c r="J32" s="33" t="inlineStr">
        <is>
          <t>[개선] 점검명을 비우고 [확정] → 확인창·안내 없음, 확정되지 않음 (기대: 필수값 안내, 정기점검계획 TC_037 과 같음).</t>
        </is>
      </c>
      <c r="K32" s="51" t="n">
        <v>46316</v>
      </c>
      <c r="L32" s="5" t="inlineStr">
        <is>
          <t>ap591-TC_027.png</t>
        </is>
      </c>
      <c r="M32" s="6" t="n"/>
      <c r="N32" s="6" t="n"/>
      <c r="O32" s="6" t="n"/>
      <c r="P32" s="6" t="n"/>
    </row>
    <row r="33" ht="13.5" customHeight="1" s="49">
      <c r="A33" s="42" t="n"/>
      <c r="B33" s="42" t="n"/>
      <c r="C33" s="43" t="inlineStr">
        <is>
          <t>Linked</t>
        </is>
      </c>
      <c r="D33" s="43" t="inlineStr">
        <is>
          <t>AP591_TC_028</t>
        </is>
      </c>
      <c r="E33" s="13">
        <f>IFERROR(VLOOKUP($D33, '테스트 케이스'!$D$6:$G$982, 2, FALSE), "")</f>
        <v/>
      </c>
      <c r="F33" s="13">
        <f>IFERROR(VLOOKUP($D33, '테스트 케이스'!$D$6:$G$982, 3, FALSE), "")</f>
        <v/>
      </c>
      <c r="G33" s="13">
        <f>IFERROR(VLOOKUP($D33, '테스트 케이스'!$D$6:$G$982, 4, FALSE), "")</f>
        <v/>
      </c>
      <c r="H33" s="5" t="inlineStr">
        <is>
          <t>최신영</t>
        </is>
      </c>
      <c r="I33" s="15" t="inlineStr">
        <is>
          <t>정상</t>
        </is>
      </c>
      <c r="J33" s="33" t="inlineStr"/>
      <c r="K33" s="51" t="n">
        <v>46316</v>
      </c>
      <c r="L33" s="5" t="inlineStr"/>
      <c r="M33" s="6" t="n"/>
      <c r="N33" s="6" t="n"/>
      <c r="O33" s="6" t="n"/>
      <c r="P33" s="6" t="n"/>
    </row>
    <row r="34" ht="13.5" customHeight="1" s="49">
      <c r="A34" s="42" t="n"/>
      <c r="B34" s="44" t="n"/>
      <c r="C34" s="44" t="n"/>
      <c r="D34" s="43" t="inlineStr">
        <is>
          <t>AP591_TC_029</t>
        </is>
      </c>
      <c r="E34" s="13">
        <f>IFERROR(VLOOKUP($D34, '테스트 케이스'!$D$6:$G$982, 2, FALSE), "")</f>
        <v/>
      </c>
      <c r="F34" s="13">
        <f>IFERROR(VLOOKUP($D34, '테스트 케이스'!$D$6:$G$982, 3, FALSE), "")</f>
        <v/>
      </c>
      <c r="G34" s="13">
        <f>IFERROR(VLOOKUP($D34, '테스트 케이스'!$D$6:$G$982, 4, FALSE), "")</f>
        <v/>
      </c>
      <c r="H34" s="5" t="inlineStr">
        <is>
          <t>최신영</t>
        </is>
      </c>
      <c r="I34" s="15" t="inlineStr">
        <is>
          <t>정상</t>
        </is>
      </c>
      <c r="J34" s="33" t="inlineStr"/>
      <c r="K34" s="51" t="n">
        <v>46316</v>
      </c>
      <c r="L34" s="5" t="inlineStr"/>
      <c r="M34" s="6" t="n"/>
      <c r="N34" s="6" t="n"/>
      <c r="O34" s="6" t="n"/>
      <c r="P34" s="6" t="n"/>
    </row>
    <row r="35" ht="13.5" customHeight="1" s="49">
      <c r="A35" s="42" t="n"/>
      <c r="B35" s="43" t="inlineStr">
        <is>
          <t>점검항목</t>
        </is>
      </c>
      <c r="C35" s="43" t="inlineStr">
        <is>
          <t>탭조회</t>
        </is>
      </c>
      <c r="D35" s="43" t="inlineStr">
        <is>
          <t>AP591_TC_030</t>
        </is>
      </c>
      <c r="E35" s="13">
        <f>IFERROR(VLOOKUP($D35, '테스트 케이스'!$D$6:$G$982, 2, FALSE), "")</f>
        <v/>
      </c>
      <c r="F35" s="13">
        <f>IFERROR(VLOOKUP($D35, '테스트 케이스'!$D$6:$G$982, 3, FALSE), "")</f>
        <v/>
      </c>
      <c r="G35" s="13">
        <f>IFERROR(VLOOKUP($D35, '테스트 케이스'!$D$6:$G$982, 4, FALSE), "")</f>
        <v/>
      </c>
      <c r="H35" s="5" t="inlineStr">
        <is>
          <t>최신영</t>
        </is>
      </c>
      <c r="I35" s="15" t="inlineStr">
        <is>
          <t>정상</t>
        </is>
      </c>
      <c r="J35" s="33" t="inlineStr"/>
      <c r="K35" s="51" t="n">
        <v>46316</v>
      </c>
      <c r="L35" s="5" t="inlineStr"/>
      <c r="M35" s="6" t="n"/>
      <c r="N35" s="6" t="n"/>
      <c r="O35" s="6" t="n"/>
      <c r="P35" s="6" t="n"/>
    </row>
    <row r="36" ht="13.5" customHeight="1" s="49">
      <c r="A36" s="42" t="n"/>
      <c r="B36" s="42" t="n"/>
      <c r="C36" s="42" t="n"/>
      <c r="D36" s="43" t="inlineStr">
        <is>
          <t>AP591_TC_031</t>
        </is>
      </c>
      <c r="E36" s="13">
        <f>IFERROR(VLOOKUP($D36, '테스트 케이스'!$D$6:$G$982, 2, FALSE), "")</f>
        <v/>
      </c>
      <c r="F36" s="13">
        <f>IFERROR(VLOOKUP($D36, '테스트 케이스'!$D$6:$G$982, 3, FALSE), "")</f>
        <v/>
      </c>
      <c r="G36" s="13">
        <f>IFERROR(VLOOKUP($D36, '테스트 케이스'!$D$6:$G$982, 4, FALSE), "")</f>
        <v/>
      </c>
      <c r="H36" s="5" t="inlineStr">
        <is>
          <t>최신영</t>
        </is>
      </c>
      <c r="I36" s="15" t="inlineStr">
        <is>
          <t>정상</t>
        </is>
      </c>
      <c r="J36" s="33" t="inlineStr"/>
      <c r="K36" s="51" t="n">
        <v>46316</v>
      </c>
      <c r="L36" s="5" t="inlineStr"/>
      <c r="M36" s="6" t="n"/>
      <c r="N36" s="6" t="n"/>
      <c r="O36" s="6" t="n"/>
      <c r="P36" s="6" t="n"/>
    </row>
    <row r="37" ht="13.5" customHeight="1" s="49">
      <c r="A37" s="42" t="n"/>
      <c r="B37" s="42" t="n"/>
      <c r="C37" s="42" t="n"/>
      <c r="D37" s="43" t="inlineStr">
        <is>
          <t>AP591_TC_032</t>
        </is>
      </c>
      <c r="E37" s="13">
        <f>IFERROR(VLOOKUP($D37, '테스트 케이스'!$D$6:$G$982, 2, FALSE), "")</f>
        <v/>
      </c>
      <c r="F37" s="13">
        <f>IFERROR(VLOOKUP($D37, '테스트 케이스'!$D$6:$G$982, 3, FALSE), "")</f>
        <v/>
      </c>
      <c r="G37" s="13">
        <f>IFERROR(VLOOKUP($D37, '테스트 케이스'!$D$6:$G$982, 4, FALSE), "")</f>
        <v/>
      </c>
      <c r="H37" s="5" t="inlineStr">
        <is>
          <t>최신영</t>
        </is>
      </c>
      <c r="I37" s="15" t="inlineStr">
        <is>
          <t>정상</t>
        </is>
      </c>
      <c r="J37" s="33" t="inlineStr"/>
      <c r="K37" s="51" t="n">
        <v>46316</v>
      </c>
      <c r="L37" s="5" t="inlineStr"/>
      <c r="M37" s="6" t="n"/>
      <c r="N37" s="6" t="n"/>
      <c r="O37" s="6" t="n"/>
      <c r="P37" s="6" t="n"/>
    </row>
    <row r="38" ht="13.5" customHeight="1" s="49">
      <c r="A38" s="42" t="n"/>
      <c r="B38" s="42" t="n"/>
      <c r="C38" s="42" t="n"/>
      <c r="D38" s="43" t="inlineStr">
        <is>
          <t>AP591_TC_033</t>
        </is>
      </c>
      <c r="E38" s="13">
        <f>IFERROR(VLOOKUP($D38, '테스트 케이스'!$D$6:$G$982, 2, FALSE), "")</f>
        <v/>
      </c>
      <c r="F38" s="13">
        <f>IFERROR(VLOOKUP($D38, '테스트 케이스'!$D$6:$G$982, 3, FALSE), "")</f>
        <v/>
      </c>
      <c r="G38" s="13">
        <f>IFERROR(VLOOKUP($D38, '테스트 케이스'!$D$6:$G$982, 4, FALSE), "")</f>
        <v/>
      </c>
      <c r="H38" s="5" t="inlineStr">
        <is>
          <t>최신영</t>
        </is>
      </c>
      <c r="I38" s="15" t="inlineStr">
        <is>
          <t>정상</t>
        </is>
      </c>
      <c r="J38" s="33" t="inlineStr"/>
      <c r="K38" s="51" t="n">
        <v>46316</v>
      </c>
      <c r="L38" s="5" t="inlineStr"/>
      <c r="M38" s="6" t="n"/>
      <c r="N38" s="6" t="n"/>
      <c r="O38" s="6" t="n"/>
      <c r="P38" s="6" t="n"/>
    </row>
    <row r="39" ht="13.5" customHeight="1" s="49">
      <c r="A39" s="42" t="n"/>
      <c r="B39" s="42" t="n"/>
      <c r="C39" s="44" t="n"/>
      <c r="D39" s="43" t="inlineStr">
        <is>
          <t>AP591_TC_034</t>
        </is>
      </c>
      <c r="E39" s="13">
        <f>IFERROR(VLOOKUP($D39, '테스트 케이스'!$D$6:$G$982, 2, FALSE), "")</f>
        <v/>
      </c>
      <c r="F39" s="13">
        <f>IFERROR(VLOOKUP($D39, '테스트 케이스'!$D$6:$G$982, 3, FALSE), "")</f>
        <v/>
      </c>
      <c r="G39" s="13">
        <f>IFERROR(VLOOKUP($D39, '테스트 케이스'!$D$6:$G$982, 4, FALSE), "")</f>
        <v/>
      </c>
      <c r="H39" s="5" t="inlineStr">
        <is>
          <t>최신영</t>
        </is>
      </c>
      <c r="I39" s="15" t="inlineStr">
        <is>
          <t>정상</t>
        </is>
      </c>
      <c r="J39" s="33" t="inlineStr"/>
      <c r="K39" s="51" t="n">
        <v>46316</v>
      </c>
      <c r="L39" s="5" t="inlineStr"/>
      <c r="M39" s="6" t="n"/>
      <c r="N39" s="6" t="n"/>
      <c r="O39" s="6" t="n"/>
      <c r="P39" s="6" t="n"/>
    </row>
    <row r="40" ht="13.5" customHeight="1" s="49">
      <c r="A40" s="42" t="n"/>
      <c r="B40" s="42" t="n"/>
      <c r="C40" s="43" t="inlineStr">
        <is>
          <t>탭닫기</t>
        </is>
      </c>
      <c r="D40" s="43" t="inlineStr">
        <is>
          <t>AP591_TC_035</t>
        </is>
      </c>
      <c r="E40" s="13">
        <f>IFERROR(VLOOKUP($D40, '테스트 케이스'!$D$6:$G$982, 2, FALSE), "")</f>
        <v/>
      </c>
      <c r="F40" s="13">
        <f>IFERROR(VLOOKUP($D40, '테스트 케이스'!$D$6:$G$982, 3, FALSE), "")</f>
        <v/>
      </c>
      <c r="G40" s="13">
        <f>IFERROR(VLOOKUP($D40, '테스트 케이스'!$D$6:$G$982, 4, FALSE), "")</f>
        <v/>
      </c>
      <c r="H40" s="5" t="inlineStr">
        <is>
          <t>최신영</t>
        </is>
      </c>
      <c r="I40" s="15" t="inlineStr">
        <is>
          <t>정상</t>
        </is>
      </c>
      <c r="J40" s="33" t="inlineStr"/>
      <c r="K40" s="51" t="n">
        <v>46316</v>
      </c>
      <c r="L40" s="5" t="inlineStr"/>
      <c r="M40" s="6" t="n"/>
      <c r="N40" s="6" t="n"/>
      <c r="O40" s="6" t="n"/>
      <c r="P40" s="6" t="n"/>
    </row>
    <row r="41" ht="13.5" customHeight="1" s="49">
      <c r="A41" s="42" t="n"/>
      <c r="B41" s="42" t="n"/>
      <c r="C41" s="43" t="inlineStr">
        <is>
          <t>탭수정</t>
        </is>
      </c>
      <c r="D41" s="43" t="inlineStr">
        <is>
          <t>AP591_TC_036</t>
        </is>
      </c>
      <c r="E41" s="13">
        <f>IFERROR(VLOOKUP($D41, '테스트 케이스'!$D$6:$G$982, 2, FALSE), "")</f>
        <v/>
      </c>
      <c r="F41" s="13">
        <f>IFERROR(VLOOKUP($D41, '테스트 케이스'!$D$6:$G$982, 3, FALSE), "")</f>
        <v/>
      </c>
      <c r="G41" s="13">
        <f>IFERROR(VLOOKUP($D41, '테스트 케이스'!$D$6:$G$982, 4, FALSE), "")</f>
        <v/>
      </c>
      <c r="H41" s="5" t="inlineStr">
        <is>
          <t>최신영</t>
        </is>
      </c>
      <c r="I41" s="15" t="inlineStr">
        <is>
          <t>정상</t>
        </is>
      </c>
      <c r="J41" s="33" t="inlineStr"/>
      <c r="K41" s="51" t="n">
        <v>46316</v>
      </c>
      <c r="L41" s="5" t="inlineStr"/>
      <c r="M41" s="6" t="n"/>
      <c r="N41" s="6" t="n"/>
      <c r="O41" s="6" t="n"/>
      <c r="P41" s="6" t="n"/>
    </row>
    <row r="42" ht="13.5" customHeight="1" s="49">
      <c r="A42" s="42" t="n"/>
      <c r="B42" s="42" t="n"/>
      <c r="C42" s="44" t="n"/>
      <c r="D42" s="43" t="inlineStr">
        <is>
          <t>AP591_TC_037</t>
        </is>
      </c>
      <c r="E42" s="13">
        <f>IFERROR(VLOOKUP($D42, '테스트 케이스'!$D$6:$G$982, 2, FALSE), "")</f>
        <v/>
      </c>
      <c r="F42" s="13">
        <f>IFERROR(VLOOKUP($D42, '테스트 케이스'!$D$6:$G$982, 3, FALSE), "")</f>
        <v/>
      </c>
      <c r="G42" s="13">
        <f>IFERROR(VLOOKUP($D42, '테스트 케이스'!$D$6:$G$982, 4, FALSE), "")</f>
        <v/>
      </c>
      <c r="H42" s="5" t="inlineStr">
        <is>
          <t>최신영</t>
        </is>
      </c>
      <c r="I42" s="15" t="inlineStr">
        <is>
          <t>정상</t>
        </is>
      </c>
      <c r="J42" s="33" t="inlineStr"/>
      <c r="K42" s="51" t="n">
        <v>46316</v>
      </c>
      <c r="L42" s="5" t="inlineStr"/>
      <c r="M42" s="6" t="n"/>
      <c r="N42" s="6" t="n"/>
      <c r="O42" s="6" t="n"/>
      <c r="P42" s="6" t="n"/>
    </row>
    <row r="43" ht="13.5" customHeight="1" s="49">
      <c r="A43" s="42" t="n"/>
      <c r="B43" s="42" t="n"/>
      <c r="C43" s="43" t="inlineStr">
        <is>
          <t>탭Excel</t>
        </is>
      </c>
      <c r="D43" s="43" t="inlineStr">
        <is>
          <t>AP591_TC_038</t>
        </is>
      </c>
      <c r="E43" s="13">
        <f>IFERROR(VLOOKUP($D43, '테스트 케이스'!$D$6:$G$982, 2, FALSE), "")</f>
        <v/>
      </c>
      <c r="F43" s="13">
        <f>IFERROR(VLOOKUP($D43, '테스트 케이스'!$D$6:$G$982, 3, FALSE), "")</f>
        <v/>
      </c>
      <c r="G43" s="13">
        <f>IFERROR(VLOOKUP($D43, '테스트 케이스'!$D$6:$G$982, 4, FALSE), "")</f>
        <v/>
      </c>
      <c r="H43" s="5" t="inlineStr">
        <is>
          <t>최신영</t>
        </is>
      </c>
      <c r="I43" s="15" t="inlineStr">
        <is>
          <t>정상</t>
        </is>
      </c>
      <c r="J43" s="33" t="inlineStr"/>
      <c r="K43" s="51" t="n">
        <v>46316</v>
      </c>
      <c r="L43" s="5" t="inlineStr"/>
      <c r="M43" s="6" t="n"/>
      <c r="N43" s="6" t="n"/>
      <c r="O43" s="6" t="n"/>
      <c r="P43" s="6" t="n"/>
    </row>
    <row r="44" ht="13.5" customHeight="1" s="49">
      <c r="A44" s="42" t="n"/>
      <c r="B44" s="42" t="n"/>
      <c r="C44" s="43" t="inlineStr">
        <is>
          <t>Edit</t>
        </is>
      </c>
      <c r="D44" s="43" t="inlineStr">
        <is>
          <t>AP591_TC_039</t>
        </is>
      </c>
      <c r="E44" s="13">
        <f>IFERROR(VLOOKUP($D44, '테스트 케이스'!$D$6:$G$982, 2, FALSE), "")</f>
        <v/>
      </c>
      <c r="F44" s="13">
        <f>IFERROR(VLOOKUP($D44, '테스트 케이스'!$D$6:$G$982, 3, FALSE), "")</f>
        <v/>
      </c>
      <c r="G44" s="13">
        <f>IFERROR(VLOOKUP($D44, '테스트 케이스'!$D$6:$G$982, 4, FALSE), "")</f>
        <v/>
      </c>
      <c r="H44" s="5" t="inlineStr">
        <is>
          <t>최신영</t>
        </is>
      </c>
      <c r="I44" s="15" t="inlineStr">
        <is>
          <t>정상</t>
        </is>
      </c>
      <c r="J44" s="33" t="inlineStr"/>
      <c r="K44" s="51" t="n">
        <v>46316</v>
      </c>
      <c r="L44" s="5" t="inlineStr"/>
      <c r="M44" s="6" t="n"/>
      <c r="N44" s="6" t="n"/>
      <c r="O44" s="6" t="n"/>
      <c r="P44" s="6" t="n"/>
    </row>
    <row r="45" ht="13.5" customHeight="1" s="49">
      <c r="A45" s="42" t="n"/>
      <c r="B45" s="42" t="n"/>
      <c r="C45" s="44" t="n"/>
      <c r="D45" s="43" t="inlineStr">
        <is>
          <t>AP591_TC_040</t>
        </is>
      </c>
      <c r="E45" s="13">
        <f>IFERROR(VLOOKUP($D45, '테스트 케이스'!$D$6:$G$982, 2, FALSE), "")</f>
        <v/>
      </c>
      <c r="F45" s="13">
        <f>IFERROR(VLOOKUP($D45, '테스트 케이스'!$D$6:$G$982, 3, FALSE), "")</f>
        <v/>
      </c>
      <c r="G45" s="13">
        <f>IFERROR(VLOOKUP($D45, '테스트 케이스'!$D$6:$G$982, 4, FALSE), "")</f>
        <v/>
      </c>
      <c r="H45" s="5" t="inlineStr">
        <is>
          <t>최신영</t>
        </is>
      </c>
      <c r="I45" s="15" t="inlineStr">
        <is>
          <t>정상</t>
        </is>
      </c>
      <c r="J45" s="33" t="inlineStr"/>
      <c r="K45" s="51" t="n">
        <v>46316</v>
      </c>
      <c r="L45" s="5" t="inlineStr"/>
      <c r="M45" s="6" t="n"/>
      <c r="N45" s="6" t="n"/>
      <c r="O45" s="6" t="n"/>
      <c r="P45" s="6" t="n"/>
    </row>
    <row r="46" ht="13.5" customHeight="1" s="49">
      <c r="A46" s="42" t="n"/>
      <c r="B46" s="44" t="n"/>
      <c r="C46" s="43" t="inlineStr">
        <is>
          <t>Setting</t>
        </is>
      </c>
      <c r="D46" s="43" t="inlineStr">
        <is>
          <t>AP591_TC_041</t>
        </is>
      </c>
      <c r="E46" s="13">
        <f>IFERROR(VLOOKUP($D46, '테스트 케이스'!$D$6:$G$982, 2, FALSE), "")</f>
        <v/>
      </c>
      <c r="F46" s="13">
        <f>IFERROR(VLOOKUP($D46, '테스트 케이스'!$D$6:$G$982, 3, FALSE), "")</f>
        <v/>
      </c>
      <c r="G46" s="13">
        <f>IFERROR(VLOOKUP($D46, '테스트 케이스'!$D$6:$G$982, 4, FALSE), "")</f>
        <v/>
      </c>
      <c r="H46" s="5" t="inlineStr">
        <is>
          <t>최신영</t>
        </is>
      </c>
      <c r="I46" s="15" t="inlineStr">
        <is>
          <t>정상</t>
        </is>
      </c>
      <c r="J46" s="33" t="inlineStr"/>
      <c r="K46" s="51" t="n">
        <v>46316</v>
      </c>
      <c r="L46" s="5" t="inlineStr"/>
      <c r="M46" s="6" t="n"/>
      <c r="N46" s="6" t="n"/>
      <c r="O46" s="6" t="n"/>
      <c r="P46" s="6" t="n"/>
    </row>
    <row r="47" ht="13.5" customHeight="1" s="49">
      <c r="A47" s="42" t="n"/>
      <c r="B47" s="43" t="inlineStr">
        <is>
          <t>표준작업</t>
        </is>
      </c>
      <c r="C47" s="43" t="inlineStr">
        <is>
          <t>탭조회</t>
        </is>
      </c>
      <c r="D47" s="43" t="inlineStr">
        <is>
          <t>AP591_TC_042</t>
        </is>
      </c>
      <c r="E47" s="13">
        <f>IFERROR(VLOOKUP($D47, '테스트 케이스'!$D$6:$G$982, 2, FALSE), "")</f>
        <v/>
      </c>
      <c r="F47" s="13">
        <f>IFERROR(VLOOKUP($D47, '테스트 케이스'!$D$6:$G$982, 3, FALSE), "")</f>
        <v/>
      </c>
      <c r="G47" s="13">
        <f>IFERROR(VLOOKUP($D47, '테스트 케이스'!$D$6:$G$982, 4, FALSE), "")</f>
        <v/>
      </c>
      <c r="H47" s="5" t="inlineStr">
        <is>
          <t>최신영</t>
        </is>
      </c>
      <c r="I47" s="15" t="inlineStr">
        <is>
          <t>정상</t>
        </is>
      </c>
      <c r="J47" s="33" t="inlineStr"/>
      <c r="K47" s="51" t="n">
        <v>46316</v>
      </c>
      <c r="L47" s="5" t="inlineStr"/>
      <c r="M47" s="6" t="n"/>
      <c r="N47" s="6" t="n"/>
      <c r="O47" s="6" t="n"/>
      <c r="P47" s="6" t="n"/>
    </row>
    <row r="48" ht="13.5" customHeight="1" s="49">
      <c r="A48" s="42" t="n"/>
      <c r="B48" s="43" t="inlineStr">
        <is>
          <t>첨부문서</t>
        </is>
      </c>
      <c r="C48" s="43" t="inlineStr">
        <is>
          <t>탭생성/삭제</t>
        </is>
      </c>
      <c r="D48" s="43" t="inlineStr">
        <is>
          <t>AP591_TC_043</t>
        </is>
      </c>
      <c r="E48" s="13">
        <f>IFERROR(VLOOKUP($D48, '테스트 케이스'!$D$6:$G$982, 2, FALSE), "")</f>
        <v/>
      </c>
      <c r="F48" s="13">
        <f>IFERROR(VLOOKUP($D48, '테스트 케이스'!$D$6:$G$982, 3, FALSE), "")</f>
        <v/>
      </c>
      <c r="G48" s="13">
        <f>IFERROR(VLOOKUP($D48, '테스트 케이스'!$D$6:$G$982, 4, FALSE), "")</f>
        <v/>
      </c>
      <c r="H48" s="5" t="inlineStr">
        <is>
          <t>최신영</t>
        </is>
      </c>
      <c r="I48" s="15" t="inlineStr">
        <is>
          <t>정상</t>
        </is>
      </c>
      <c r="J48" s="33" t="inlineStr"/>
      <c r="K48" s="51" t="n">
        <v>46316</v>
      </c>
      <c r="L48" s="5" t="inlineStr"/>
      <c r="M48" s="6" t="n"/>
      <c r="N48" s="6" t="n"/>
      <c r="O48" s="6" t="n"/>
      <c r="P48" s="6" t="n"/>
    </row>
    <row r="49" ht="13.5" customHeight="1" s="49">
      <c r="A49" s="44" t="n"/>
      <c r="B49" s="44" t="n"/>
      <c r="C49" s="43" t="inlineStr">
        <is>
          <t>탭삭제</t>
        </is>
      </c>
      <c r="D49" s="43" t="inlineStr">
        <is>
          <t>AP591_TC_044</t>
        </is>
      </c>
      <c r="E49" s="13">
        <f>IFERROR(VLOOKUP($D49, '테스트 케이스'!$D$6:$G$982, 2, FALSE), "")</f>
        <v/>
      </c>
      <c r="F49" s="13">
        <f>IFERROR(VLOOKUP($D49, '테스트 케이스'!$D$6:$G$982, 3, FALSE), "")</f>
        <v/>
      </c>
      <c r="G49" s="13">
        <f>IFERROR(VLOOKUP($D49, '테스트 케이스'!$D$6:$G$982, 4, FALSE), "")</f>
        <v/>
      </c>
      <c r="H49" s="5" t="inlineStr">
        <is>
          <t>최신영</t>
        </is>
      </c>
      <c r="I49" s="15" t="inlineStr">
        <is>
          <t>정상</t>
        </is>
      </c>
      <c r="J49" s="33" t="inlineStr"/>
      <c r="K49" s="51" t="n">
        <v>46316</v>
      </c>
      <c r="L49" s="5" t="inlineStr"/>
      <c r="M49" s="6" t="n"/>
      <c r="N49" s="6" t="n"/>
      <c r="O49" s="6" t="n"/>
      <c r="P49" s="6" t="n"/>
    </row>
    <row r="50" ht="27" customHeight="1" s="49"/>
    <row r="51" ht="27" customHeight="1" s="49"/>
    <row r="52" ht="54" customHeight="1" s="49">
      <c r="A52" s="0" t="inlineStr">
        <is>
          <t>엣지케이스</t>
        </is>
      </c>
    </row>
    <row r="53" ht="40.5" customHeight="1" s="49">
      <c r="A53" s="20" t="inlineStr">
        <is>
          <t>메뉴명</t>
        </is>
      </c>
      <c r="B53" s="21" t="inlineStr">
        <is>
          <t>탭 명</t>
        </is>
      </c>
      <c r="C53" s="20" t="inlineStr">
        <is>
          <t>기능</t>
        </is>
      </c>
      <c r="D53" s="20" t="inlineStr">
        <is>
          <t>테스트ID</t>
        </is>
      </c>
      <c r="E53" s="20" t="inlineStr">
        <is>
          <t>CASE</t>
        </is>
      </c>
      <c r="F53" s="20" t="inlineStr">
        <is>
          <t>STEP</t>
        </is>
      </c>
      <c r="G53" s="20" t="inlineStr">
        <is>
          <t>테스트 예상 결과</t>
        </is>
      </c>
      <c r="H53" s="22" t="inlineStr">
        <is>
          <t>QA</t>
        </is>
      </c>
      <c r="I53" s="22" t="inlineStr">
        <is>
          <t>QA결과 
(정상/오류)</t>
        </is>
      </c>
      <c r="J53" s="22" t="inlineStr">
        <is>
          <t>QA내용</t>
        </is>
      </c>
      <c r="K53" s="23" t="inlineStr">
        <is>
          <t>QA날짜</t>
        </is>
      </c>
      <c r="L53" s="23" t="inlineStr">
        <is>
          <t>첨부파일</t>
        </is>
      </c>
      <c r="M53" s="24" t="inlineStr">
        <is>
          <t>Dev</t>
        </is>
      </c>
      <c r="N53" s="24" t="inlineStr">
        <is>
          <t>조치결과
(완료/불가/보류)</t>
        </is>
      </c>
      <c r="O53" s="25" t="inlineStr">
        <is>
          <t>조치내용</t>
        </is>
      </c>
      <c r="P53" s="26" t="inlineStr">
        <is>
          <t>조치날짜</t>
        </is>
      </c>
    </row>
    <row r="54" ht="13.5" customHeight="1" s="49">
      <c r="A54" s="43" t="inlineStr">
        <is>
          <t>정기점검실행_AP591</t>
        </is>
      </c>
      <c r="B54" s="43" t="inlineStr">
        <is>
          <t>공통</t>
        </is>
      </c>
      <c r="C54" s="43" t="inlineStr">
        <is>
          <t>확정</t>
        </is>
      </c>
      <c r="D54" s="43" t="inlineStr">
        <is>
          <t>AP591_EC_001</t>
        </is>
      </c>
      <c r="E54" s="13">
        <f>IFERROR(VLOOKUP($D54, '테스트 케이스'!$D$6:$G$982, 2, FALSE), "")</f>
        <v/>
      </c>
      <c r="F54" s="13">
        <f>IFERROR(VLOOKUP($D54, '테스트 케이스'!$D$6:$G$982, 3, FALSE), "")</f>
        <v/>
      </c>
      <c r="G54" s="13">
        <f>IFERROR(VLOOKUP($D54, '테스트 케이스'!$D$6:$G$982, 4, FALSE), "")</f>
        <v/>
      </c>
      <c r="H54" s="5" t="inlineStr">
        <is>
          <t>최신영</t>
        </is>
      </c>
      <c r="I54" s="15" t="inlineStr">
        <is>
          <t>정상</t>
        </is>
      </c>
      <c r="J54" s="33" t="inlineStr"/>
      <c r="K54" s="51" t="n">
        <v>46316</v>
      </c>
      <c r="L54" s="5" t="inlineStr"/>
      <c r="M54" s="6" t="n"/>
      <c r="N54" s="6" t="n"/>
      <c r="O54" s="6" t="n"/>
      <c r="P54" s="6" t="n"/>
    </row>
    <row r="55" ht="13.5" customHeight="1" s="49">
      <c r="A55" s="42" t="n"/>
      <c r="B55" s="42" t="n"/>
      <c r="C55" s="44" t="n"/>
      <c r="D55" s="43" t="inlineStr">
        <is>
          <t>AP591_EC_002</t>
        </is>
      </c>
      <c r="E55" s="13">
        <f>IFERROR(VLOOKUP($D55, '테스트 케이스'!$D$6:$G$982, 2, FALSE), "")</f>
        <v/>
      </c>
      <c r="F55" s="13">
        <f>IFERROR(VLOOKUP($D55, '테스트 케이스'!$D$6:$G$982, 3, FALSE), "")</f>
        <v/>
      </c>
      <c r="G55" s="13">
        <f>IFERROR(VLOOKUP($D55, '테스트 케이스'!$D$6:$G$982, 4, FALSE), "")</f>
        <v/>
      </c>
      <c r="H55" s="5" t="inlineStr">
        <is>
          <t>최신영</t>
        </is>
      </c>
      <c r="I55" s="15" t="inlineStr">
        <is>
          <t>정상</t>
        </is>
      </c>
      <c r="J55" s="33" t="inlineStr"/>
      <c r="K55" s="51" t="n">
        <v>46316</v>
      </c>
      <c r="L55" s="5" t="inlineStr"/>
      <c r="M55" s="6" t="n"/>
      <c r="N55" s="6" t="n"/>
      <c r="O55" s="6" t="n"/>
      <c r="P55" s="6" t="n"/>
    </row>
    <row r="56" ht="13.5" customHeight="1" s="49">
      <c r="A56" s="42" t="n"/>
      <c r="B56" s="42" t="n"/>
      <c r="C56" s="43" t="inlineStr">
        <is>
          <t>수정</t>
        </is>
      </c>
      <c r="D56" s="43" t="inlineStr">
        <is>
          <t>AP591_EC_003</t>
        </is>
      </c>
      <c r="E56" s="13">
        <f>IFERROR(VLOOKUP($D56, '테스트 케이스'!$D$6:$G$982, 2, FALSE), "")</f>
        <v/>
      </c>
      <c r="F56" s="13">
        <f>IFERROR(VLOOKUP($D56, '테스트 케이스'!$D$6:$G$982, 3, FALSE), "")</f>
        <v/>
      </c>
      <c r="G56" s="13">
        <f>IFERROR(VLOOKUP($D56, '테스트 케이스'!$D$6:$G$982, 4, FALSE), "")</f>
        <v/>
      </c>
      <c r="H56" s="5" t="inlineStr">
        <is>
          <t>최신영</t>
        </is>
      </c>
      <c r="I56" s="15" t="inlineStr">
        <is>
          <t>정상</t>
        </is>
      </c>
      <c r="J56" s="33" t="inlineStr"/>
      <c r="K56" s="51" t="n">
        <v>46316</v>
      </c>
      <c r="L56" s="5" t="inlineStr"/>
      <c r="M56" s="6" t="n"/>
      <c r="N56" s="6" t="n"/>
      <c r="O56" s="6" t="n"/>
      <c r="P56" s="6" t="n"/>
    </row>
    <row r="57" ht="13.5" customHeight="1" s="49">
      <c r="A57" s="42" t="n"/>
      <c r="B57" s="42" t="n"/>
      <c r="C57" s="44" t="n"/>
      <c r="D57" s="43" t="inlineStr">
        <is>
          <t>AP591_EC_004</t>
        </is>
      </c>
      <c r="E57" s="13">
        <f>IFERROR(VLOOKUP($D57, '테스트 케이스'!$D$6:$G$982, 2, FALSE), "")</f>
        <v/>
      </c>
      <c r="F57" s="13">
        <f>IFERROR(VLOOKUP($D57, '테스트 케이스'!$D$6:$G$982, 3, FALSE), "")</f>
        <v/>
      </c>
      <c r="G57" s="13">
        <f>IFERROR(VLOOKUP($D57, '테스트 케이스'!$D$6:$G$982, 4, FALSE), "")</f>
        <v/>
      </c>
      <c r="H57" s="5" t="inlineStr">
        <is>
          <t>최신영</t>
        </is>
      </c>
      <c r="I57" s="15" t="inlineStr">
        <is>
          <t>정상</t>
        </is>
      </c>
      <c r="J57" s="33" t="inlineStr"/>
      <c r="K57" s="51" t="n">
        <v>46316</v>
      </c>
      <c r="L57" s="5" t="inlineStr"/>
      <c r="M57" s="6" t="n"/>
      <c r="N57" s="6" t="n"/>
      <c r="O57" s="6" t="n"/>
      <c r="P57" s="6" t="n"/>
    </row>
    <row r="58" ht="13.5" customHeight="1" s="49">
      <c r="A58" s="42" t="n"/>
      <c r="B58" s="42" t="n"/>
      <c r="C58" s="43" t="inlineStr">
        <is>
          <t>입력검증</t>
        </is>
      </c>
      <c r="D58" s="43" t="inlineStr">
        <is>
          <t>AP591_EC_005</t>
        </is>
      </c>
      <c r="E58" s="13">
        <f>IFERROR(VLOOKUP($D58, '테스트 케이스'!$D$6:$G$982, 2, FALSE), "")</f>
        <v/>
      </c>
      <c r="F58" s="13">
        <f>IFERROR(VLOOKUP($D58, '테스트 케이스'!$D$6:$G$982, 3, FALSE), "")</f>
        <v/>
      </c>
      <c r="G58" s="13">
        <f>IFERROR(VLOOKUP($D58, '테스트 케이스'!$D$6:$G$982, 4, FALSE), "")</f>
        <v/>
      </c>
      <c r="H58" s="5" t="inlineStr">
        <is>
          <t>최신영</t>
        </is>
      </c>
      <c r="I58" s="15" t="inlineStr">
        <is>
          <t>정상</t>
        </is>
      </c>
      <c r="J58" s="33" t="inlineStr">
        <is>
          <t>[개선] 특수문자 비고는 그대로 저장·표시. 점검명 409자 → 안내 없이 저장되지 않음 (정기점검주기·계획과 같이 길이 초과 안내 없음).</t>
        </is>
      </c>
      <c r="K58" s="51" t="n">
        <v>46316</v>
      </c>
      <c r="L58" s="5" t="inlineStr"/>
      <c r="M58" s="6" t="n"/>
      <c r="N58" s="6" t="n"/>
      <c r="O58" s="6" t="n"/>
      <c r="P58" s="6" t="n"/>
    </row>
    <row r="59" ht="13.5" customHeight="1" s="49">
      <c r="A59" s="42" t="n"/>
      <c r="B59" s="42" t="n"/>
      <c r="C59" s="44" t="n"/>
      <c r="D59" s="43" t="inlineStr">
        <is>
          <t>AP591_EC_006</t>
        </is>
      </c>
      <c r="E59" s="13">
        <f>IFERROR(VLOOKUP($D59, '테스트 케이스'!$D$6:$G$982, 2, FALSE), "")</f>
        <v/>
      </c>
      <c r="F59" s="13">
        <f>IFERROR(VLOOKUP($D59, '테스트 케이스'!$D$6:$G$982, 3, FALSE), "")</f>
        <v/>
      </c>
      <c r="G59" s="13">
        <f>IFERROR(VLOOKUP($D59, '테스트 케이스'!$D$6:$G$982, 4, FALSE), "")</f>
        <v/>
      </c>
      <c r="H59" s="5" t="inlineStr">
        <is>
          <t>최신영</t>
        </is>
      </c>
      <c r="I59" s="15" t="inlineStr">
        <is>
          <t>정상</t>
        </is>
      </c>
      <c r="J59" s="33" t="inlineStr"/>
      <c r="K59" s="51" t="n">
        <v>46316</v>
      </c>
      <c r="L59" s="5" t="inlineStr"/>
      <c r="M59" s="6" t="n"/>
      <c r="N59" s="6" t="n"/>
      <c r="O59" s="6" t="n"/>
      <c r="P59" s="6" t="n"/>
    </row>
    <row r="60" ht="13.5" customHeight="1" s="49">
      <c r="A60" s="42" t="n"/>
      <c r="B60" s="42" t="n"/>
      <c r="C60" s="43" t="inlineStr">
        <is>
          <t>조회</t>
        </is>
      </c>
      <c r="D60" s="43" t="inlineStr">
        <is>
          <t>AP591_EC_007</t>
        </is>
      </c>
      <c r="E60" s="13">
        <f>IFERROR(VLOOKUP($D60, '테스트 케이스'!$D$6:$G$982, 2, FALSE), "")</f>
        <v/>
      </c>
      <c r="F60" s="13">
        <f>IFERROR(VLOOKUP($D60, '테스트 케이스'!$D$6:$G$982, 3, FALSE), "")</f>
        <v/>
      </c>
      <c r="G60" s="13">
        <f>IFERROR(VLOOKUP($D60, '테스트 케이스'!$D$6:$G$982, 4, FALSE), "")</f>
        <v/>
      </c>
      <c r="H60" s="5" t="inlineStr">
        <is>
          <t>최신영</t>
        </is>
      </c>
      <c r="I60" s="15" t="inlineStr">
        <is>
          <t>정상</t>
        </is>
      </c>
      <c r="J60" s="33" t="inlineStr"/>
      <c r="K60" s="51" t="n">
        <v>46316</v>
      </c>
      <c r="L60" s="5" t="inlineStr"/>
      <c r="M60" s="6" t="n"/>
      <c r="N60" s="6" t="n"/>
      <c r="O60" s="6" t="n"/>
      <c r="P60" s="6" t="n"/>
    </row>
    <row r="61" ht="13.5" customHeight="1" s="49">
      <c r="A61" s="44" t="n"/>
      <c r="B61" s="44" t="n"/>
      <c r="C61" s="43" t="inlineStr">
        <is>
          <t>검색</t>
        </is>
      </c>
      <c r="D61" s="43" t="inlineStr">
        <is>
          <t>AP591_EC_008</t>
        </is>
      </c>
      <c r="E61" s="13">
        <f>IFERROR(VLOOKUP($D61, '테스트 케이스'!$D$6:$G$982, 2, FALSE), "")</f>
        <v/>
      </c>
      <c r="F61" s="13">
        <f>IFERROR(VLOOKUP($D61, '테스트 케이스'!$D$6:$G$982, 3, FALSE), "")</f>
        <v/>
      </c>
      <c r="G61" s="13">
        <f>IFERROR(VLOOKUP($D61, '테스트 케이스'!$D$6:$G$982, 4, FALSE), "")</f>
        <v/>
      </c>
      <c r="H61" s="5" t="inlineStr">
        <is>
          <t>최신영</t>
        </is>
      </c>
      <c r="I61" s="15" t="inlineStr">
        <is>
          <t>정상</t>
        </is>
      </c>
      <c r="J61" s="33" t="inlineStr"/>
      <c r="K61" s="51" t="n">
        <v>46316</v>
      </c>
      <c r="L61" s="5" t="inlineStr"/>
      <c r="M61" s="6" t="n"/>
      <c r="N61" s="6" t="n"/>
      <c r="O61" s="6" t="n"/>
      <c r="P61" s="6" t="n"/>
    </row>
    <row r="62" ht="141" customHeight="1" s="49"/>
    <row r="63" ht="132" customHeight="1" s="49"/>
    <row r="64" ht="142.5" customHeight="1" s="49"/>
  </sheetData>
  <mergeCells count="23">
    <mergeCell ref="C33:C34"/>
    <mergeCell ref="C29:C30"/>
    <mergeCell ref="A6:A49"/>
    <mergeCell ref="C6:C13"/>
    <mergeCell ref="C54:C55"/>
    <mergeCell ref="B16:B34"/>
    <mergeCell ref="C26:C27"/>
    <mergeCell ref="B14:B15"/>
    <mergeCell ref="C44:C45"/>
    <mergeCell ref="B35:B46"/>
    <mergeCell ref="B48:B49"/>
    <mergeCell ref="C56:C57"/>
    <mergeCell ref="C41:C42"/>
    <mergeCell ref="C31:C32"/>
    <mergeCell ref="A54:A61"/>
    <mergeCell ref="C16:C23"/>
    <mergeCell ref="B6:B13"/>
    <mergeCell ref="C35:C39"/>
    <mergeCell ref="C24:C25"/>
    <mergeCell ref="C58:C59"/>
    <mergeCell ref="C14:C15"/>
    <mergeCell ref="B54:B61"/>
    <mergeCell ref="A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신영</dc:creator>
  <dcterms:created xsi:type="dcterms:W3CDTF">2025-02-10T07:03:31Z</dcterms:created>
  <dcterms:modified xsi:type="dcterms:W3CDTF">2026-10-21T05:24:33Z</dcterms:modified>
  <cp:lastModifiedBy>최 신영</cp:lastModifiedBy>
</cp:coreProperties>
</file>