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-auto\docs\AD230\"/>
    </mc:Choice>
  </mc:AlternateContent>
  <xr:revisionPtr revIDLastSave="0" documentId="13_ncr:1_{C2570471-799A-45B8-9BD5-594CC21E24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테스트 케이스" sheetId="1" r:id="rId1"/>
    <sheet name="Dev 조치사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1" l="1"/>
  <c r="J67" i="1" a="1"/>
  <c r="J67" i="1" s="1"/>
  <c r="I67" i="1" a="1"/>
  <c r="I67" i="1" s="1"/>
  <c r="H67" i="1" a="1"/>
  <c r="H67" i="1" s="1"/>
  <c r="K66" i="1"/>
  <c r="J66" i="1" a="1"/>
  <c r="J66" i="1" s="1"/>
  <c r="I66" i="1" a="1"/>
  <c r="I66" i="1" s="1"/>
  <c r="H66" i="1" a="1"/>
  <c r="H66" i="1" s="1"/>
  <c r="K65" i="1"/>
  <c r="J65" i="1" a="1"/>
  <c r="J65" i="1" s="1"/>
  <c r="I65" i="1" a="1"/>
  <c r="I65" i="1" s="1"/>
  <c r="H65" i="1" a="1"/>
  <c r="H65" i="1" s="1"/>
  <c r="K64" i="1"/>
  <c r="J64" i="1" a="1"/>
  <c r="J64" i="1" s="1"/>
  <c r="I64" i="1" a="1"/>
  <c r="I64" i="1" s="1"/>
  <c r="H64" i="1" a="1"/>
  <c r="H64" i="1" s="1"/>
  <c r="K63" i="1"/>
  <c r="J63" i="1" a="1"/>
  <c r="J63" i="1" s="1"/>
  <c r="I63" i="1" a="1"/>
  <c r="I63" i="1" s="1"/>
  <c r="H63" i="1" a="1"/>
  <c r="H63" i="1" s="1"/>
  <c r="K62" i="1"/>
  <c r="J62" i="1" a="1"/>
  <c r="J62" i="1" s="1"/>
  <c r="I62" i="1" a="1"/>
  <c r="I62" i="1" s="1"/>
  <c r="H62" i="1" a="1"/>
  <c r="H62" i="1" s="1"/>
  <c r="K61" i="1"/>
  <c r="J61" i="1" a="1"/>
  <c r="J61" i="1" s="1"/>
  <c r="I61" i="1" a="1"/>
  <c r="I61" i="1" s="1"/>
  <c r="H61" i="1" a="1"/>
  <c r="H61" i="1" s="1"/>
  <c r="K60" i="1"/>
  <c r="J60" i="1" a="1"/>
  <c r="J60" i="1" s="1"/>
  <c r="I60" i="1" a="1"/>
  <c r="I60" i="1"/>
  <c r="H60" i="1" a="1"/>
  <c r="H60" i="1"/>
  <c r="K59" i="1"/>
  <c r="J59" i="1" a="1"/>
  <c r="J59" i="1" s="1"/>
  <c r="I59" i="1" a="1"/>
  <c r="I59" i="1"/>
  <c r="H59" i="1" a="1"/>
  <c r="H59" i="1"/>
  <c r="K58" i="1"/>
  <c r="J58" i="1" a="1"/>
  <c r="J58" i="1" s="1"/>
  <c r="I58" i="1" a="1"/>
  <c r="I58" i="1"/>
  <c r="H58" i="1" a="1"/>
  <c r="H58" i="1" s="1"/>
  <c r="K57" i="1"/>
  <c r="J57" i="1" a="1"/>
  <c r="J57" i="1" s="1"/>
  <c r="I57" i="1" a="1"/>
  <c r="I57" i="1" s="1"/>
  <c r="H57" i="1" a="1"/>
  <c r="H57" i="1" s="1"/>
  <c r="K56" i="1"/>
  <c r="J56" i="1" a="1"/>
  <c r="J56" i="1" s="1"/>
  <c r="I56" i="1" a="1"/>
  <c r="I56" i="1" s="1"/>
  <c r="H56" i="1" a="1"/>
  <c r="H56" i="1" s="1"/>
  <c r="K55" i="1"/>
  <c r="J55" i="1" a="1"/>
  <c r="J55" i="1" s="1"/>
  <c r="I55" i="1" a="1"/>
  <c r="I55" i="1" s="1"/>
  <c r="H55" i="1" a="1"/>
  <c r="H55" i="1" s="1"/>
  <c r="K54" i="1"/>
  <c r="J54" i="1" a="1"/>
  <c r="J54" i="1" s="1"/>
  <c r="I54" i="1" a="1"/>
  <c r="I54" i="1" s="1"/>
  <c r="H54" i="1" a="1"/>
  <c r="H54" i="1" s="1"/>
  <c r="K53" i="1"/>
  <c r="J53" i="1" a="1"/>
  <c r="J53" i="1" s="1"/>
  <c r="I53" i="1" a="1"/>
  <c r="I53" i="1"/>
  <c r="H53" i="1" a="1"/>
  <c r="H53" i="1"/>
  <c r="K52" i="1"/>
  <c r="J52" i="1" a="1"/>
  <c r="J52" i="1" s="1"/>
  <c r="I52" i="1" a="1"/>
  <c r="I52" i="1"/>
  <c r="H52" i="1" a="1"/>
  <c r="H52" i="1"/>
  <c r="K47" i="1"/>
  <c r="J47" i="1" a="1"/>
  <c r="J47" i="1" s="1"/>
  <c r="I47" i="1" a="1"/>
  <c r="I47" i="1"/>
  <c r="H47" i="1" a="1"/>
  <c r="H47" i="1" s="1"/>
  <c r="K46" i="1"/>
  <c r="J46" i="1" a="1"/>
  <c r="J46" i="1" s="1"/>
  <c r="I46" i="1" a="1"/>
  <c r="I46" i="1" s="1"/>
  <c r="H46" i="1" a="1"/>
  <c r="H46" i="1" s="1"/>
  <c r="K45" i="1"/>
  <c r="J45" i="1" a="1"/>
  <c r="J45" i="1" s="1"/>
  <c r="I45" i="1" a="1"/>
  <c r="I45" i="1" s="1"/>
  <c r="H45" i="1" a="1"/>
  <c r="H45" i="1" s="1"/>
  <c r="K44" i="1"/>
  <c r="J44" i="1" a="1"/>
  <c r="J44" i="1" s="1"/>
  <c r="I44" i="1" a="1"/>
  <c r="I44" i="1" s="1"/>
  <c r="H44" i="1" a="1"/>
  <c r="H44" i="1" s="1"/>
  <c r="K43" i="1"/>
  <c r="J43" i="1" a="1"/>
  <c r="J43" i="1" s="1"/>
  <c r="I43" i="1" a="1"/>
  <c r="I43" i="1" s="1"/>
  <c r="H43" i="1" a="1"/>
  <c r="H43" i="1" s="1"/>
  <c r="K42" i="1"/>
  <c r="J42" i="1" a="1"/>
  <c r="J42" i="1" s="1"/>
  <c r="I42" i="1" a="1"/>
  <c r="I42" i="1" s="1"/>
  <c r="H42" i="1" a="1"/>
  <c r="H42" i="1" s="1"/>
  <c r="K41" i="1"/>
  <c r="J41" i="1" a="1"/>
  <c r="J41" i="1" s="1"/>
  <c r="I41" i="1" a="1"/>
  <c r="I41" i="1" s="1"/>
  <c r="H41" i="1" a="1"/>
  <c r="H41" i="1" s="1"/>
  <c r="K40" i="1"/>
  <c r="J40" i="1" a="1"/>
  <c r="J40" i="1" s="1"/>
  <c r="I40" i="1" a="1"/>
  <c r="I40" i="1" s="1"/>
  <c r="H40" i="1" a="1"/>
  <c r="H40" i="1" s="1"/>
  <c r="K39" i="1"/>
  <c r="J39" i="1" a="1"/>
  <c r="J39" i="1" s="1"/>
  <c r="I39" i="1" a="1"/>
  <c r="I39" i="1" s="1"/>
  <c r="H39" i="1" a="1"/>
  <c r="H39" i="1" s="1"/>
  <c r="K38" i="1"/>
  <c r="J38" i="1" a="1"/>
  <c r="J38" i="1" s="1"/>
  <c r="I38" i="1" a="1"/>
  <c r="I38" i="1" s="1"/>
  <c r="H38" i="1" a="1"/>
  <c r="H38" i="1" s="1"/>
  <c r="K37" i="1"/>
  <c r="J37" i="1" a="1"/>
  <c r="J37" i="1" s="1"/>
  <c r="I37" i="1" a="1"/>
  <c r="I37" i="1" s="1"/>
  <c r="H37" i="1" a="1"/>
  <c r="H37" i="1" s="1"/>
  <c r="K36" i="1"/>
  <c r="J36" i="1" a="1"/>
  <c r="J36" i="1" s="1"/>
  <c r="I36" i="1" a="1"/>
  <c r="I36" i="1" s="1"/>
  <c r="H36" i="1" a="1"/>
  <c r="H36" i="1"/>
  <c r="K35" i="1"/>
  <c r="J35" i="1" a="1"/>
  <c r="J35" i="1"/>
  <c r="I35" i="1" a="1"/>
  <c r="I35" i="1"/>
  <c r="H35" i="1" a="1"/>
  <c r="H35" i="1"/>
  <c r="K34" i="1"/>
  <c r="J34" i="1" a="1"/>
  <c r="J34" i="1"/>
  <c r="I34" i="1" a="1"/>
  <c r="I34" i="1"/>
  <c r="H34" i="1" a="1"/>
  <c r="H34" i="1"/>
  <c r="K33" i="1"/>
  <c r="J33" i="1" a="1"/>
  <c r="J33" i="1"/>
  <c r="I33" i="1" a="1"/>
  <c r="I33" i="1"/>
  <c r="H33" i="1" a="1"/>
  <c r="H33" i="1"/>
  <c r="K32" i="1"/>
  <c r="J32" i="1" a="1"/>
  <c r="J32" i="1" s="1"/>
  <c r="I32" i="1" a="1"/>
  <c r="I32" i="1"/>
  <c r="H32" i="1" a="1"/>
  <c r="H32" i="1"/>
  <c r="K31" i="1"/>
  <c r="J31" i="1" a="1"/>
  <c r="J31" i="1" s="1"/>
  <c r="I31" i="1" a="1"/>
  <c r="I31" i="1" s="1"/>
  <c r="H31" i="1" a="1"/>
  <c r="H31" i="1" s="1"/>
  <c r="K30" i="1"/>
  <c r="J30" i="1" a="1"/>
  <c r="J30" i="1" s="1"/>
  <c r="I30" i="1" a="1"/>
  <c r="I30" i="1" s="1"/>
  <c r="H30" i="1" a="1"/>
  <c r="H30" i="1" s="1"/>
  <c r="K29" i="1"/>
  <c r="J29" i="1" a="1"/>
  <c r="J29" i="1" s="1"/>
  <c r="I29" i="1" a="1"/>
  <c r="I29" i="1" s="1"/>
  <c r="H29" i="1" a="1"/>
  <c r="H29" i="1" s="1"/>
  <c r="K28" i="1"/>
  <c r="J28" i="1" a="1"/>
  <c r="J28" i="1" s="1"/>
  <c r="I28" i="1" a="1"/>
  <c r="I28" i="1" s="1"/>
  <c r="H28" i="1" a="1"/>
  <c r="H28" i="1" s="1"/>
  <c r="K27" i="1"/>
  <c r="J27" i="1" a="1"/>
  <c r="J27" i="1" s="1"/>
  <c r="I27" i="1" a="1"/>
  <c r="I27" i="1" s="1"/>
  <c r="H27" i="1" a="1"/>
  <c r="H27" i="1" s="1"/>
  <c r="K26" i="1"/>
  <c r="J26" i="1" a="1"/>
  <c r="J26" i="1" s="1"/>
  <c r="I26" i="1" a="1"/>
  <c r="I26" i="1" s="1"/>
  <c r="H26" i="1" a="1"/>
  <c r="H26" i="1" s="1"/>
  <c r="K25" i="1"/>
  <c r="J25" i="1" a="1"/>
  <c r="J25" i="1" s="1"/>
  <c r="I25" i="1" a="1"/>
  <c r="I25" i="1" s="1"/>
  <c r="H25" i="1" a="1"/>
  <c r="H25" i="1" s="1"/>
  <c r="K24" i="1"/>
  <c r="J24" i="1" a="1"/>
  <c r="J24" i="1" s="1"/>
  <c r="I24" i="1" a="1"/>
  <c r="I24" i="1" s="1"/>
  <c r="H24" i="1" a="1"/>
  <c r="H24" i="1" s="1"/>
  <c r="K23" i="1"/>
  <c r="J23" i="1" a="1"/>
  <c r="J23" i="1" s="1"/>
  <c r="I23" i="1" a="1"/>
  <c r="I23" i="1" s="1"/>
  <c r="H23" i="1" a="1"/>
  <c r="H23" i="1" s="1"/>
  <c r="K22" i="1"/>
  <c r="J22" i="1" a="1"/>
  <c r="J22" i="1" s="1"/>
  <c r="I22" i="1" a="1"/>
  <c r="I22" i="1" s="1"/>
  <c r="H22" i="1" a="1"/>
  <c r="H22" i="1"/>
  <c r="K21" i="1"/>
  <c r="J21" i="1" a="1"/>
  <c r="J21" i="1"/>
  <c r="I21" i="1" a="1"/>
  <c r="I21" i="1"/>
  <c r="H21" i="1" a="1"/>
  <c r="H21" i="1"/>
  <c r="K20" i="1"/>
  <c r="J20" i="1" a="1"/>
  <c r="J20" i="1"/>
  <c r="I20" i="1" a="1"/>
  <c r="I20" i="1"/>
  <c r="H20" i="1" a="1"/>
  <c r="H20" i="1"/>
  <c r="K19" i="1"/>
  <c r="J19" i="1" a="1"/>
  <c r="J19" i="1"/>
  <c r="I19" i="1" a="1"/>
  <c r="I19" i="1"/>
  <c r="H19" i="1" a="1"/>
  <c r="H19" i="1"/>
  <c r="K18" i="1"/>
  <c r="J18" i="1" a="1"/>
  <c r="J18" i="1"/>
  <c r="I18" i="1" a="1"/>
  <c r="I18" i="1"/>
  <c r="H18" i="1" a="1"/>
  <c r="H18" i="1"/>
  <c r="K17" i="1"/>
  <c r="J17" i="1" a="1"/>
  <c r="J17" i="1"/>
  <c r="I17" i="1" a="1"/>
  <c r="I17" i="1"/>
  <c r="H17" i="1" a="1"/>
  <c r="H17" i="1"/>
  <c r="K16" i="1"/>
  <c r="J16" i="1" a="1"/>
  <c r="J16" i="1"/>
  <c r="I16" i="1" a="1"/>
  <c r="I16" i="1"/>
  <c r="H16" i="1" a="1"/>
  <c r="H16" i="1"/>
  <c r="K15" i="1"/>
  <c r="J15" i="1" a="1"/>
  <c r="J15" i="1"/>
  <c r="I15" i="1" a="1"/>
  <c r="I15" i="1"/>
  <c r="H15" i="1" a="1"/>
  <c r="H15" i="1"/>
  <c r="K14" i="1"/>
  <c r="J14" i="1" a="1"/>
  <c r="J14" i="1"/>
  <c r="I14" i="1" a="1"/>
  <c r="I14" i="1"/>
  <c r="H14" i="1" a="1"/>
  <c r="H14" i="1"/>
  <c r="K13" i="1"/>
  <c r="J13" i="1" a="1"/>
  <c r="J13" i="1"/>
  <c r="I13" i="1" a="1"/>
  <c r="I13" i="1"/>
  <c r="H13" i="1" a="1"/>
  <c r="H13" i="1"/>
  <c r="K12" i="1"/>
  <c r="J12" i="1" a="1"/>
  <c r="J12" i="1"/>
  <c r="I12" i="1" a="1"/>
  <c r="I12" i="1"/>
  <c r="H12" i="1" a="1"/>
  <c r="H12" i="1"/>
  <c r="K11" i="1"/>
  <c r="J11" i="1" a="1"/>
  <c r="J11" i="1" s="1"/>
  <c r="I11" i="1" a="1"/>
  <c r="I11" i="1"/>
  <c r="H11" i="1" a="1"/>
  <c r="H11" i="1"/>
  <c r="K10" i="1"/>
  <c r="J10" i="1" a="1"/>
  <c r="J10" i="1" s="1"/>
  <c r="I10" i="1" a="1"/>
  <c r="I10" i="1"/>
  <c r="H10" i="1" a="1"/>
  <c r="H10" i="1"/>
  <c r="K9" i="1"/>
  <c r="J9" i="1" a="1"/>
  <c r="J9" i="1" s="1"/>
  <c r="I9" i="1" a="1"/>
  <c r="I9" i="1"/>
  <c r="H9" i="1" a="1"/>
  <c r="H9" i="1"/>
  <c r="K8" i="1"/>
  <c r="J8" i="1" a="1"/>
  <c r="J8" i="1" s="1"/>
  <c r="I8" i="1" a="1"/>
  <c r="I8" i="1"/>
  <c r="H8" i="1" a="1"/>
  <c r="H8" i="1"/>
  <c r="K7" i="1"/>
  <c r="J7" i="1" a="1"/>
  <c r="J7" i="1"/>
  <c r="I7" i="1" a="1"/>
  <c r="I7" i="1"/>
  <c r="H7" i="1" a="1"/>
  <c r="H7" i="1"/>
  <c r="K6" i="1"/>
  <c r="J6" i="1" a="1"/>
  <c r="J6" i="1"/>
  <c r="I6" i="1" a="1"/>
  <c r="I6" i="1"/>
  <c r="H6" i="1" a="1"/>
  <c r="H6" i="1"/>
  <c r="A2" i="1"/>
  <c r="G67" i="2"/>
  <c r="F67" i="2"/>
  <c r="E67" i="2"/>
  <c r="G66" i="2"/>
  <c r="F66" i="2"/>
  <c r="E66" i="2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A2" i="2"/>
</calcChain>
</file>

<file path=xl/sharedStrings.xml><?xml version="1.0" encoding="utf-8"?>
<sst xmlns="http://schemas.openxmlformats.org/spreadsheetml/2006/main" count="577" uniqueCount="297">
  <si>
    <t>공통</t>
  </si>
  <si>
    <t>메뉴명</t>
  </si>
  <si>
    <t>탭 명</t>
  </si>
  <si>
    <t>기능</t>
  </si>
  <si>
    <t>테스트ID</t>
  </si>
  <si>
    <t>CASE</t>
  </si>
  <si>
    <t>STEP</t>
  </si>
  <si>
    <t>테스트 예상 결과</t>
  </si>
  <si>
    <t>QA</t>
  </si>
  <si>
    <t>QA결과 
(정상/오류)</t>
  </si>
  <si>
    <t>QA내용</t>
  </si>
  <si>
    <t>QA날짜</t>
  </si>
  <si>
    <t>첨부파일</t>
  </si>
  <si>
    <t>Dev</t>
  </si>
  <si>
    <t>조치결과
(완료/불가/보류)</t>
  </si>
  <si>
    <t>조치내용</t>
  </si>
  <si>
    <t>조치날짜</t>
  </si>
  <si>
    <t>정기점검주기_AD230</t>
  </si>
  <si>
    <t>목록(조건)</t>
  </si>
  <si>
    <t>검색</t>
  </si>
  <si>
    <t>AD230_TC_001</t>
  </si>
  <si>
    <t>최신영</t>
  </si>
  <si>
    <t>정상</t>
  </si>
  <si>
    <t>AD230_TC_002</t>
  </si>
  <si>
    <t>AD230_TC_003</t>
  </si>
  <si>
    <t>AD230_TC_004</t>
  </si>
  <si>
    <t>AD230_TC_005</t>
  </si>
  <si>
    <t>AD230_TC_006</t>
  </si>
  <si>
    <t>AD230_TC_007</t>
  </si>
  <si>
    <t>목록(위치), 목록(종류)</t>
  </si>
  <si>
    <t>AD230_TC_008</t>
  </si>
  <si>
    <t>목록(위치), 목록(종류), 목록(조건)</t>
  </si>
  <si>
    <t>조회</t>
  </si>
  <si>
    <t>AD230_TC_009</t>
  </si>
  <si>
    <t>AD230_TC_010</t>
  </si>
  <si>
    <t>AD230_TC_011</t>
  </si>
  <si>
    <t>AD230_TC_012</t>
  </si>
  <si>
    <t>AD230_TC_013</t>
  </si>
  <si>
    <t>AD230_TC_014</t>
  </si>
  <si>
    <t>AD230_TC_015</t>
  </si>
  <si>
    <t>AD230_TC_016</t>
  </si>
  <si>
    <t>닫기</t>
  </si>
  <si>
    <t>AD230_TC_017</t>
  </si>
  <si>
    <t>생성</t>
  </si>
  <si>
    <t>AD230_TC_018</t>
  </si>
  <si>
    <t>AD230_TC_019</t>
  </si>
  <si>
    <t>AD230_TC_020</t>
  </si>
  <si>
    <t>수정</t>
  </si>
  <si>
    <t>AD230_TC_021</t>
  </si>
  <si>
    <t>AD230_TC_022</t>
  </si>
  <si>
    <t>삭제</t>
  </si>
  <si>
    <t>AD230_TC_023</t>
  </si>
  <si>
    <t>AD230_TC_024</t>
  </si>
  <si>
    <t>[개선] 목록에서 아무것도 체크하지 않고 [삭제] → '선택하세요' 같은 안내 메시지 없음 (확인창이 뜨면 Cancel)</t>
  </si>
  <si>
    <t>Excel</t>
  </si>
  <si>
    <t>AD230_TC_025</t>
  </si>
  <si>
    <t>Setting</t>
  </si>
  <si>
    <t>AD230_TC_026</t>
  </si>
  <si>
    <t>일정생성</t>
  </si>
  <si>
    <t>AD230_TC_027</t>
  </si>
  <si>
    <t>AD230_TC_028</t>
  </si>
  <si>
    <t>[개선] 저장 전에 [일정생성] → 확인창·안내 없이 아무 반응 없음.
(저장 후 일정생성도 완료 안내는 없음)</t>
  </si>
  <si>
    <t>Linked</t>
  </si>
  <si>
    <t>AD230_TC_029</t>
  </si>
  <si>
    <t>AD230_TC_030</t>
  </si>
  <si>
    <t>설비</t>
  </si>
  <si>
    <t>탭조회</t>
  </si>
  <si>
    <t>AD230_TC_031</t>
  </si>
  <si>
    <t>탭생성</t>
  </si>
  <si>
    <t>AD230_TC_032</t>
  </si>
  <si>
    <t>AD230_TC_033</t>
  </si>
  <si>
    <t>탭수정</t>
  </si>
  <si>
    <t>AD230_TC_034</t>
  </si>
  <si>
    <t>탭삭제</t>
  </si>
  <si>
    <t>AD230_TC_035</t>
  </si>
  <si>
    <t>[개선] 체크 없이 [삭제] → '선택하세요' 안내 없이 바로 '삭제 하시겠습니까?' 확인창이 뜸 (Cancel 로 닫음, 지워진 것 없음).
100305AG17 체크 삭제 → 2 → 1행, 100302AG13 은 남음 (정상).</t>
  </si>
  <si>
    <t>TC_041_체크없이삭제_확인창.png (점검항목 목록과 같은 동작)</t>
  </si>
  <si>
    <t>탭Excel</t>
  </si>
  <si>
    <t>AD230_TC_036</t>
  </si>
  <si>
    <t>표준작업</t>
  </si>
  <si>
    <t>탭생성/삭제</t>
  </si>
  <si>
    <t>AD230_TC_037</t>
  </si>
  <si>
    <t>점검</t>
  </si>
  <si>
    <t>AD230_TC_038</t>
  </si>
  <si>
    <t>표준항목선택</t>
  </si>
  <si>
    <t>AD230_TC_039</t>
  </si>
  <si>
    <t>AD230_TC_040</t>
  </si>
  <si>
    <t>AD230_TC_041</t>
  </si>
  <si>
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</si>
  <si>
    <t>TC_041_체크없이삭제_확인창.png</t>
  </si>
  <si>
    <t>첨부문서</t>
  </si>
  <si>
    <t>AD230_TC_042</t>
  </si>
  <si>
    <t>엣지케이스</t>
  </si>
  <si>
    <t>설비, 점검</t>
  </si>
  <si>
    <t>AD230_EC_001</t>
  </si>
  <si>
    <t>오류</t>
  </si>
  <si>
    <t>err-EC_001.png</t>
  </si>
  <si>
    <t>AD230_EC_002</t>
  </si>
  <si>
    <t>AD230_EC_003</t>
  </si>
  <si>
    <t>RBM·재조정 Y (8078): 11-02 작업을 10-20에 완료.
기대(규칙 문서 4장, 사용량 40시간 · 하루 480분 → 누적 2400분 초과일 = 6번째 근무일, 완료일 10-20 기준): 10-28, 11-05, 11-13, 11-23 (가동달력 일별 데이터는 11-24까지).
실제: 11-02(작업발행 1건 추가), 11-10, 11-18 그대로.</t>
  </si>
  <si>
    <t>err-EC_003.png</t>
  </si>
  <si>
    <t>AD230_EC_004</t>
  </si>
  <si>
    <t>AD230_EC_005</t>
  </si>
  <si>
    <t>AD230_EC_006</t>
  </si>
  <si>
    <t>AD230_EC_007</t>
  </si>
  <si>
    <t>AD230_EC_008</t>
  </si>
  <si>
    <t>AD230_EC_009</t>
  </si>
  <si>
    <t>AD230_EC_010</t>
  </si>
  <si>
    <t>입력검증</t>
  </si>
  <si>
    <t>AD230_EC_011</t>
  </si>
  <si>
    <t>주기에 0, 1.5 → 안내 없이 저장됨 (1.5는 2로 저장, 8069). "-"·한글은 입력 안 됨.</t>
  </si>
  <si>
    <t>err-EC_011.png</t>
  </si>
  <si>
    <t>AD230_EC_012</t>
  </si>
  <si>
    <t>[개선] 1주 주기 (8074)에 몇일전 일정생성 0, 30, 400 → 안내 없이 저장됨. "-"는 입력 안 됨.</t>
  </si>
  <si>
    <t>AD230_EC_013</t>
  </si>
  <si>
    <t>[개선] 특수문자 작업명은 그대로 저장됨 (8070).
작업명 칸에 길이 제한(maxlength)이 없고, 100바이트(한글 1자=3바이트)를 넘으면 안내 없이 저장되지 않음.
확인 (8067): 99·100바이트 저장됨, 101·102바이트 저장 안 됨. 같은 이유로 처음 TC_021(103바이트 작업명)도 저장되지 않았음.</t>
  </si>
  <si>
    <t>AD230_EC_014</t>
  </si>
  <si>
    <t>이미 있는 설비(100302AG13)를 다시 추가 → 안내 없이 2행이 됨 (8067). 넣은 중복 행은 삭제함.</t>
  </si>
  <si>
    <t>err-EC_014.png</t>
  </si>
  <si>
    <t>AD230_EC_015</t>
  </si>
  <si>
    <t>AD230_EC_016</t>
  </si>
  <si>
    <t>[개선] 일정이 생성된 주기는 삭제할 수 없음 (사양, 사용자 확인).
8081 (계획 13건, 발행 전) 체크 → [삭제] → OK → "선택된 데이터가 없습니다." 안내로 삭제 안 됨.
개선: 안내 문구가 실제 이유(일정이 있어 삭제 불가)와 맞지 않음.</t>
  </si>
  <si>
    <t>del-EC-016.png</t>
  </si>
  <si>
    <t>H,I,J,K 행 수식 수정 금지</t>
  </si>
  <si>
    <t>검색 필드의 기본값을 확인한다.</t>
  </si>
  <si>
    <t>메뉴 접속 후 목록(조건) 탭 클릭</t>
  </si>
  <si>
    <t>시행여부 = Y 로 입력되어 있고, 나머지 검색 필드(예방작업번호, 작업명, 설비, 설비위치, 공장명, 부서명, 작업그룹명, 담당자, 거래처)는 비어 있음</t>
  </si>
  <si>
    <t>설비 Lov 팝업의 데이터를 확인한다.</t>
  </si>
  <si>
    <t>설비 필드의 돋보기(Lov) 클릭 → 팝업의 목록(위치) 탭 Total 확인</t>
  </si>
  <si>
    <t>"설비" Lov 팝업이 열리고, 목록 건수와 내용이 [설비자산 &gt; 설비] 메뉴 목록과 일치함</t>
  </si>
  <si>
    <t>그 외 검색 필드 Lov 팝업의 데이터를 확인한다.</t>
  </si>
  <si>
    <t>설비위치, 공장명, 부서명, 작업그룹명, 담당자, 거래처, 시행여부의 돋보기(Lov)를 하나씩 클릭</t>
  </si>
  <si>
    <t>각 Lov 팝업이 열리고, 목록이 원본 메뉴(설비위치설정, 공장설정, 부서, 작업그룹, 사원, 거래처, 시스템코드 IS_USE)와 일치함</t>
  </si>
  <si>
    <t>조건 하나로 정기점검주기를 검색한다.</t>
  </si>
  <si>
    <t>검색 필드마다 실제 데이터 값 1개씩 입력(Lov 필드는 Lov에서 선택) 후 검색 버튼 클릭</t>
  </si>
  <si>
    <t>입력한 조건에 맞는 데이터만 목록에 표시되고, 우측 하단 Total 숫자와 조회 건수가 일치함</t>
  </si>
  <si>
    <t>여러 조건을 조합하여 검색한다.</t>
  </si>
  <si>
    <t>① 공장명 + 시행여부  ② 설비 + 부서명 을 함께 입력 후 검색</t>
  </si>
  <si>
    <t>모든 조건을 동시에 만족하는 데이터만 표시됨</t>
  </si>
  <si>
    <t>정기점검주기 전체를 검색한다.</t>
  </si>
  <si>
    <t>검색 필드의 값을 모두 지운 뒤 검색 버튼 클릭</t>
  </si>
  <si>
    <t>시행여부 Y/N 구분 없이 등록된 전체 데이터가 표시되고 Total n/n 이 전체 건수와 일치함</t>
  </si>
  <si>
    <t>검색 결과가 없는 조건으로 검색한다.</t>
  </si>
  <si>
    <t>존재하지 않는 작업명 입력 후 검색</t>
  </si>
  <si>
    <t>목록이 비어 있고 Total 0/0 표시, 오류 팝업 없음</t>
  </si>
  <si>
    <t>트리에서 위치/종류를 선택하여 조회한다.</t>
  </si>
  <si>
    <t>① 목록(위치) 탭에서 위치명 트리의 위치 클릭  ② 목록(종류) 탭에서 설비종류 트리의 종류 클릭</t>
  </si>
  <si>
    <t>선택한 위치/종류에 속한 설비의 정기점검주기만 오른쪽 목록에 표시됨</t>
  </si>
  <si>
    <t>조회된 목록을 정렬한다.</t>
  </si>
  <si>
    <t>목록 그리드 헤더(예방작업번호, 작업명, 설비번호) 클릭 2회</t>
  </si>
  <si>
    <t>선택한 열 기준으로 오름차순 → 내림차순 정렬됨</t>
  </si>
  <si>
    <t>목록 건수 표시를 확인한다.</t>
  </si>
  <si>
    <t>전체 검색 후 목록을 끝까지 스크롤</t>
  </si>
  <si>
    <t>Total a/b 에서 a 는 화면에 불러온 건수, b 는 전체 건수이며 스크롤 시 끝까지 불러오면 a = b</t>
  </si>
  <si>
    <t>(행 클릭) 상세정보를 조회한다.</t>
  </si>
  <si>
    <t>목록의 데이터 행 클릭</t>
  </si>
  <si>
    <t>목록 하단에 상세(정기점검주기설정 : 번호 / 작업명)가 열리고 해당 데이터 값이 표시됨</t>
  </si>
  <si>
    <t>(상세보기 버튼) 상세정보를 조회한다.</t>
  </si>
  <si>
    <t>목록에서 행 선택 후 상세보기 버튼 클릭</t>
  </si>
  <si>
    <t>선택한 데이터의 상세가 팝업창으로 열리며 하단 상세와 내용이 같음</t>
  </si>
  <si>
    <t>목록과 상세의 값이 일치하는지 확인한다.</t>
  </si>
  <si>
    <t>목록 한 행의 예방작업번호, 작업명, 설비, 작업그룹명, 담당자, 일정생성방법, 주기를 상세 값과 비교</t>
  </si>
  <si>
    <t>목록과 상세의 값이 모두 같음</t>
  </si>
  <si>
    <t>(목록) 데이터 표시 형식을 확인한다.</t>
  </si>
  <si>
    <t>목록의 숫자, 날짜, 텍스트, 코드 열 확인</t>
  </si>
  <si>
    <t>숫자: 천단위 쉼표, 오른쪽 정렬 / 날짜: yyyy-mm-dd, 가운데 정렬 / 텍스트: 왼쪽 정렬 / 코드: 가운데 정렬</t>
  </si>
  <si>
    <t>(상세) 데이터 표시 형식을 확인한다.</t>
  </si>
  <si>
    <t>상세의 숫자(주기, 몇일전 일정생성?, 예상작업시간), 날짜 필드 확인</t>
  </si>
  <si>
    <t>숫자는 오른쪽 정렬, 날짜는 yyyy-mm-dd</t>
  </si>
  <si>
    <t>읽기전용 필드를 확인한다.</t>
  </si>
  <si>
    <t>상세에서 작업종류, 작업형태, 예방작업번호 클릭 후 입력 시도</t>
  </si>
  <si>
    <t>회색으로 표시되고 값을 수정할 수 없음</t>
  </si>
  <si>
    <t>상세를 닫는다.</t>
  </si>
  <si>
    <t>① 하단 상세의 닫기(ⓧ) 클릭  ② 상세보기 팝업의 X 클릭</t>
  </si>
  <si>
    <t>상세(팝업)가 닫히고 목록 화면만 남음</t>
  </si>
  <si>
    <t>생성 시 기본값을 확인한다.</t>
  </si>
  <si>
    <t>목록의 생성 버튼 클릭 (목록(위치)/(종류)에서는 작업형태 선택)</t>
  </si>
  <si>
    <t>빈 상세가 열리고 기본값이 채워짐: 작업종류·작업형태 = 정기점검, 예방작업번호 자동 부여, 시행여부 Y, 일정생성방법 TBM, 몇일전 일정생성? 7, 공장·부서명 = 로그인 사용자 소속</t>
  </si>
  <si>
    <t>필수값을 모두 넣어 정기점검주기를 생성한다.</t>
  </si>
  <si>
    <t>1. 생성 클릭
2. 작업명, 주기(숫자+주기구분), 근무달력 입력(Lov 선택), 그 외 담당자·작업그룹 입력
3. 저장 → OK</t>
  </si>
  <si>
    <t>저장 완료, 목록에 새 행 추가, 상세 제목에 예방작업번호 / 작업명 표시</t>
  </si>
  <si>
    <t>필수값을 하나씩 비우고 저장한다.</t>
  </si>
  <si>
    <t>작업명, 일정생성방법, 주기, 몇일전 일정생성?, 근무달력, 부서명을 하나씩 비운 채 저장 → OK</t>
  </si>
  <si>
    <t>각각 필수값 누락 팝업이 뜨고 저장되지 않음 (6건 모두)</t>
  </si>
  <si>
    <t>저장된 정기점검주기를 수정한다.</t>
  </si>
  <si>
    <t>상세에서 작업명, 주기, 담당자, 비고 변경 후 저장 → OK</t>
  </si>
  <si>
    <t>변경 내용이 상세와 목록에 반영됨 (팝업에서 수정한 경우 재검색 후 반영)</t>
  </si>
  <si>
    <t>필수값을 지우고 수정한다.</t>
  </si>
  <si>
    <t>상세에서 작업명을 지운 뒤 저장 → OK</t>
  </si>
  <si>
    <t>필수값 누락 팝업이 뜨고 수정되지 않음</t>
  </si>
  <si>
    <t>선택한 정기점검주기를 삭제한다. (체크O)</t>
  </si>
  <si>
    <t>목록 좌측 체크박스로 이 테스트에서 만든 데이터 선택 → 삭제 → OK (탭별로 확인)</t>
  </si>
  <si>
    <t>선택한 데이터가 삭제되고 목록에서 사라짐</t>
  </si>
  <si>
    <t>선택 없이 삭제한다. (체크X)</t>
  </si>
  <si>
    <t>체크박스 선택 없이 삭제 클릭</t>
  </si>
  <si>
    <t>"선택된 데이터가 없습니다" 팝업, 삭제되지 않음</t>
  </si>
  <si>
    <t>목록을 Excel로 다운로드한다.</t>
  </si>
  <si>
    <t>1. 조건 검색
2. Excel 버튼 클릭 후 파일 열기</t>
  </si>
  <si>
    <t>조회된 데이터가 담긴 Excel 파일이 받아지고, 행 수와 열 이름이 목록과 같음 (조회 결과가 없으면 헤더만 있음)</t>
  </si>
  <si>
    <t>Setting(사용자정의)에서 설정을 바꾸면 화면에 반영되는지 확인한다.</t>
  </si>
  <si>
    <t>목록 Setting: 칼럼 숨기기/보이기, 정렬값·너비 수정, 리스트 길이 수정, 초기화
검색 Setting: 필드 숨기기/보이기, 정렬값 수정, 초기화
Tab 설정: 상세 탭 숨기기 후 초기화
(끝나면 원래 값으로 되돌림)</t>
  </si>
  <si>
    <t>바꾼 설정이 목록·검색 영역·상세 탭에 반영되고, 되돌리거나 초기화하면 원래대로 돌아옴
※ Setting 은 개인 저장 (내 계정에만 적용)</t>
  </si>
  <si>
    <t>TBM 정기점검주기의 일정을 생성한다.</t>
  </si>
  <si>
    <t>1. 저장된 정기점검주기(설비 포함) 상세에서 일정생성 클릭 → OK
2. [정기점검계획] 메뉴에서 해당 예방작업번호 조회</t>
  </si>
  <si>
    <t>완료 메시지 표시, 정기점검계획에 설비별 계획이 생성되고 첫 일정은 설비의 최초작업예정일 기준, 이후 일정은 주기 간격</t>
  </si>
  <si>
    <t>저장 전에 일정생성을 누른다.</t>
  </si>
  <si>
    <t>생성 클릭 후 값만 입력하고 저장하지 않은 상태에서 일정생성 클릭</t>
  </si>
  <si>
    <t>저장이 필요하다는 안내가 뜨고 일정이 생성되지 않음</t>
  </si>
  <si>
    <t>점검일정을 확인한다.</t>
  </si>
  <si>
    <t>상세의 Linked → 점검일정 클릭</t>
  </si>
  <si>
    <t>해당 예방작업번호의 점검일정이 팝업(목록(조건))으로 열림</t>
  </si>
  <si>
    <t>연간점검일정을 확인한다.</t>
  </si>
  <si>
    <t>상세의 Linked → 연간점검일정 클릭</t>
  </si>
  <si>
    <t>해당 예방작업번호의 연간점검일정이 팝업(카렌다(연간))으로 열림</t>
  </si>
  <si>
    <t>설비 목록을 조회한다.</t>
  </si>
  <si>
    <t>상세 하단 설비 목록 확인</t>
  </si>
  <si>
    <t>등록된 설비가 표시되고 제목 옆 숫자, Total 과 행 수가 일치함</t>
  </si>
  <si>
    <t>설비를 추가한다.</t>
  </si>
  <si>
    <t>설비 목록의 생성 → 설비 돋보기(Lov)에서 설비 조회·선택 → 최초작업예정일 입력 → 저장 → OK</t>
  </si>
  <si>
    <t>선택한 설비가 목록에 추가되고 설비번호·설비명·설비위치가 Lov에서 고른 값과 같음</t>
  </si>
  <si>
    <t>설비를 필수값 없이 추가한다.</t>
  </si>
  <si>
    <t>설비 목록의 생성 → 설비를 고르지 않고 저장 → OK</t>
  </si>
  <si>
    <t>필수값 누락 팝업, 저장되지 않음</t>
  </si>
  <si>
    <t>설비의 최초작업예정일·시행여부를 수정한다.</t>
  </si>
  <si>
    <t>설비 행 클릭 → 최초작업예정일, 시행여부 변경 → 저장 → OK</t>
  </si>
  <si>
    <t>변경 내용이 설비 목록에 반영됨</t>
  </si>
  <si>
    <t>설비를 삭제한다. (체크O / 체크X)</t>
  </si>
  <si>
    <t>① 체크 후 삭제 → OK  ② 체크 없이 삭제</t>
  </si>
  <si>
    <t>① 선택한 설비만 삭제됨  ② "선택된 데이터가 없습니다" 팝업</t>
  </si>
  <si>
    <t>설비 목록을 Excel로 다운로드한다.</t>
  </si>
  <si>
    <t>설비 목록의 Excel 클릭</t>
  </si>
  <si>
    <t>설비 목록이 담긴 Excel 파일이 받아짐 (데이터가 없으면 헤더만)</t>
  </si>
  <si>
    <t>표준작업을 추가하고 삭제한다.</t>
  </si>
  <si>
    <t>표준작업 목록의 생성 → 표준작업 Lov에서 선택 → 저장 → 체크 후 삭제</t>
  </si>
  <si>
    <t>추가 시 목록에 표시되고, 삭제 시 목록에서 사라짐</t>
  </si>
  <si>
    <t>점검항목을 직접 추가한다.</t>
  </si>
  <si>
    <t>점검 목록의 생성 → 점검순서, 부위, 점검항목, 점검방법, 적정기준, 수치/판정 입력 → 저장</t>
  </si>
  <si>
    <t>점검항목이 목록에 추가되고 점검순서대로 정렬됨</t>
  </si>
  <si>
    <t>표준항목을 선택하여 점검항목을 추가한다.</t>
  </si>
  <si>
    <t>표준항목선택 클릭 → 팝업에서 표준점검항목 선택 → 선택</t>
  </si>
  <si>
    <t>표준점검항목선택 팝업이 열리고, 선택한 항목이 점검 목록에 추가됨</t>
  </si>
  <si>
    <t>점검항목의 기준값을 수정한다.</t>
  </si>
  <si>
    <t>수치형 점검항목 클릭 → 하한값, 기준값, 상한값, 단위 수정 → 저장</t>
  </si>
  <si>
    <t>변경 내용이 점검 목록에 반영됨</t>
  </si>
  <si>
    <t>점검항목을 삭제한다. (체크O / 체크X)</t>
  </si>
  <si>
    <t>① 선택한 항목만 삭제됨  ② "선택된 데이터가 없습니다" 팝업</t>
  </si>
  <si>
    <t>첨부문서를 등록하고 삭제한다.</t>
  </si>
  <si>
    <t>첨부문서 목록의 생성 → 제목, 문서분류 입력, 파일 첨부 → 저장 → 체크 후 삭제</t>
  </si>
  <si>
    <t>등록 시 목록에 표시되고 파일을 내려받을 수 있음, 삭제 시 목록에서 사라짐</t>
  </si>
  <si>
    <t>UBM(사용달력)으로 일정을 생성한다.
(일정생성방법-UBM, 작업완료시일정재조정-Y)</t>
  </si>
  <si>
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</si>
  <si>
    <t>정기점검계획에 계획 생성, 정기점검실행에 작업 생성, 작업완료 후 이후 일정이 완료일 기준으로 재조정됨</t>
  </si>
  <si>
    <t>UBM(사용달력)으로 일정을 생성한다.
(일정생성방법-UBM, 작업완료시일정재조정-N)</t>
  </si>
  <si>
    <t>EC_001 과 같은 절차, 재조정 N</t>
  </si>
  <si>
    <t>작업완료 후에도 이후 일정이 바뀌지 않음</t>
  </si>
  <si>
    <t>RBM(가동달력)으로 일정을 생성한다.
(일정생성방법-RBM, 작업완료시일정재조정-Y)</t>
  </si>
  <si>
    <t>EC_001 과 같은 절차, 일정생성방법 RBM, 재조정 Y</t>
  </si>
  <si>
    <t>가동달력 기준으로 계획 생성, 작업완료 후 이후 일정 재조정됨</t>
  </si>
  <si>
    <t>RBM(가동달력)으로 일정을 생성한다.
(일정생성방법-RBM, 작업완료시일정재조정-N)</t>
  </si>
  <si>
    <t>EC_003 과 같은 절차, 재조정 N</t>
  </si>
  <si>
    <t>TBM 일정 재조정을 확인한다.
(TBM, 월 주기, 작업완료시일정재조정-Y)</t>
  </si>
  <si>
    <t>1. TBM, 1 월 주기, 재조정 Y 로 저장 후 일정생성
2. 첫 작업을 예정일보다 늦게 완료</t>
  </si>
  <si>
    <t>이후 일정이 실제 완료일 기준 1개월 간격으로 재조정됨</t>
  </si>
  <si>
    <t>주기구분별 일정 간격을 확인한다.</t>
  </si>
  <si>
    <t>같은 설비로 일 / 주 / 월 / 년 주기를 각각 저장 후 일정생성</t>
  </si>
  <si>
    <t>각 계획의 간격이 주기 숫자 × 주기구분과 정확히 일치함</t>
  </si>
  <si>
    <t>월말 시작일의 월 주기 일정을 확인한다.</t>
  </si>
  <si>
    <t>최초작업예정일 1월 31일, 1 월 주기로 일정생성</t>
  </si>
  <si>
    <t>2월은 말일(28/29일)로 생성되고 날짜가 3월로 넘어가거나 누락되지 않음</t>
  </si>
  <si>
    <t>시행여부 N 의 일정생성을 확인한다.</t>
  </si>
  <si>
    <t>① 정기점검주기 시행여부 N 으로 일정생성  ② 설비 행만 시행여부 N 으로 일정생성</t>
  </si>
  <si>
    <t>시행여부 N 인 대상은 계획이 생성되지 않음</t>
  </si>
  <si>
    <t>일정생성을 두 번 실행한다.</t>
  </si>
  <si>
    <t>같은 정기점검주기에서 일정생성 → OK 를 2회 실행</t>
  </si>
  <si>
    <t>같은 날짜의 계획이 중복 생성되지 않음</t>
  </si>
  <si>
    <t>설비가 여러 대인 주기의 일정을 생성한다.</t>
  </si>
  <si>
    <t>설비 2대(최초작업예정일 서로 다르게) 추가 후 일정생성</t>
  </si>
  <si>
    <t>설비별로 각자의 최초작업예정일 기준 계획이 생성됨</t>
  </si>
  <si>
    <t>주기에 잘못된 값을 넣는다.</t>
  </si>
  <si>
    <t>주기에 0, 음수, 소수, 문자 입력 후 저장</t>
  </si>
  <si>
    <t>입력이 막히거나 오류 팝업, 저장되지 않음</t>
  </si>
  <si>
    <t>몇일전 일정생성? 경계값을 확인한다.</t>
  </si>
  <si>
    <t>몇일전 일정생성? 에 0, 주기보다 큰 값(예: 1 주 주기에 30) 입력 후 저장·일정생성</t>
  </si>
  <si>
    <t>허용 범위가 아니면 막히고, 허용되면 그 값만큼 앞서 일정이 생성됨</t>
  </si>
  <si>
    <t>작업명 최대 길이와 특수문자를 확인한다.</t>
  </si>
  <si>
    <t>작업명에 최대 길이 초과 문자열, 특수문자(' " &lt; &gt; &amp;) 입력 후 저장</t>
  </si>
  <si>
    <t>최대 길이 초과는 막히고, 특수문자는 깨지지 않고 저장·표시됨</t>
  </si>
  <si>
    <t>같은 설비를 중복 추가한다.</t>
  </si>
  <si>
    <t>설비 목록에 이미 있는 설비를 Lov 에서 다시 선택하여 저장</t>
  </si>
  <si>
    <t>중복 안내 후 저장되지 않음 (업무상 허용이면 해당없음 처리)</t>
  </si>
  <si>
    <t>일정생성 후 주기를 변경한다.</t>
  </si>
  <si>
    <t>일정생성된 정기점검주기의 주기를 1 월 → 2 월로 변경 후 저장, 다시 일정생성</t>
  </si>
  <si>
    <t>1. 주기만 변경·저장한 상태에서는 기존에 생성된 일정이 그대로 유지됨
2. 일정생성을 다시 누르면 기존 일정이 삭제되고 바뀐 주기로 다시 생성됨</t>
  </si>
  <si>
    <t>일정이 생성된 정기점검주기를 삭제한다.</t>
  </si>
  <si>
    <t>일정생성된 정기점검주기를 목록에서 삭제 → OK</t>
  </si>
  <si>
    <t>일정이 생성된 정기점검주기는 삭제할 수 없다는 안내가 뜨고 삭제되지 않음 (실제 동작을 QA내용에 함께 기록)</t>
  </si>
  <si>
    <t>UBM·재조정 Y (8076): 11-02 작업을 10-20에 완료.
기대(규칙 문서 4장, 사용량 40 · 하루 8 → 누적 40 초과일 = 6번째 근무일, 완료일 10-20 기준): 10-28, 11-05, 11-13, 11-23, 12-01.
실제: 11-02(작업발행 1건 추가), 11-10, 11-18, 11-26, 12-04 그대로.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</si>
</sst>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14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176" fontId="9" fillId="0" borderId="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2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defaultColWidth="9" defaultRowHeight="16.5" x14ac:dyDescent="0.3"/>
  <cols>
    <col min="1" max="1" width="15.375" style="19" bestFit="1" customWidth="1"/>
    <col min="2" max="2" width="15.375" style="19" customWidth="1"/>
    <col min="3" max="3" width="8.75" style="18" bestFit="1" customWidth="1"/>
    <col min="4" max="4" width="14.5" style="9" bestFit="1" customWidth="1"/>
    <col min="5" max="5" width="43.5" style="9" customWidth="1"/>
    <col min="6" max="6" width="61.875" style="9" customWidth="1"/>
    <col min="7" max="7" width="60.5" style="9" bestFit="1" customWidth="1"/>
    <col min="8" max="8" width="14" style="1" customWidth="1"/>
    <col min="9" max="9" width="18.25" style="1" customWidth="1"/>
    <col min="10" max="10" width="37.875" style="17" customWidth="1"/>
    <col min="11" max="11" width="21" style="1" customWidth="1"/>
    <col min="12" max="13" width="9" style="9" customWidth="1"/>
    <col min="14" max="16384" width="9" style="9"/>
  </cols>
  <sheetData>
    <row r="2" spans="1:11" ht="31.5" customHeight="1" x14ac:dyDescent="0.3">
      <c r="A2" s="43" t="str">
        <f>"Dream 4.1 "&amp;CLEAN(A6)&amp;" 단위테스트"</f>
        <v>Dream 4.1 정기점검주기_AD230 단위테스트</v>
      </c>
      <c r="B2" s="38"/>
      <c r="C2" s="39"/>
      <c r="D2" s="44"/>
      <c r="E2" s="44"/>
      <c r="F2" s="44"/>
      <c r="G2" s="44"/>
      <c r="H2" s="45"/>
      <c r="I2" s="45"/>
      <c r="J2" s="46"/>
      <c r="K2" s="45"/>
    </row>
    <row r="4" spans="1:11" x14ac:dyDescent="0.3">
      <c r="A4" s="27" t="s">
        <v>0</v>
      </c>
      <c r="B4" s="28"/>
      <c r="C4" s="7"/>
      <c r="D4" s="8"/>
      <c r="E4" s="7"/>
      <c r="F4" s="7"/>
      <c r="G4" s="7"/>
      <c r="H4" s="29"/>
      <c r="I4" s="8"/>
      <c r="J4" s="14"/>
      <c r="K4" s="30" t="s">
        <v>123</v>
      </c>
    </row>
    <row r="5" spans="1:11" ht="27" customHeight="1" x14ac:dyDescent="0.3">
      <c r="A5" s="20" t="s">
        <v>1</v>
      </c>
      <c r="B5" s="21" t="s">
        <v>2</v>
      </c>
      <c r="C5" s="20" t="s">
        <v>3</v>
      </c>
      <c r="D5" s="20" t="s">
        <v>4</v>
      </c>
      <c r="E5" s="20" t="s">
        <v>5</v>
      </c>
      <c r="F5" s="20" t="s">
        <v>6</v>
      </c>
      <c r="G5" s="20" t="s">
        <v>7</v>
      </c>
      <c r="H5" s="22" t="s">
        <v>8</v>
      </c>
      <c r="I5" s="22" t="s">
        <v>9</v>
      </c>
      <c r="J5" s="22" t="s">
        <v>10</v>
      </c>
      <c r="K5" s="12" t="s">
        <v>11</v>
      </c>
    </row>
    <row r="6" spans="1:11" ht="16.5" customHeight="1" x14ac:dyDescent="0.3">
      <c r="A6" s="34" t="s">
        <v>17</v>
      </c>
      <c r="B6" s="34" t="s">
        <v>18</v>
      </c>
      <c r="C6" s="2" t="s">
        <v>19</v>
      </c>
      <c r="D6" s="2" t="s">
        <v>20</v>
      </c>
      <c r="E6" s="3" t="s">
        <v>124</v>
      </c>
      <c r="F6" s="4" t="s">
        <v>125</v>
      </c>
      <c r="G6" s="3" t="s">
        <v>126</v>
      </c>
      <c r="H6" s="10" t="str">
        <f t="array" ref="H6">INDEX('Dev 조치사항'!$H$6:$H$1004, MATCH(1, ('Dev 조치사항'!$D$6:$D$1004=D6)*('Dev 조치사항'!$K$6:$K$1004=_xlfn.MAXIFS('Dev 조치사항'!$K$6:$K$1004, 'Dev 조치사항'!$D$6:$D$1004, D6)), 0))</f>
        <v>최신영</v>
      </c>
      <c r="I6" s="11" t="str">
        <f t="array" ref="I6">INDEX('Dev 조치사항'!$I$6:$I$1004, MATCH(1, ('Dev 조치사항'!$D$6:$D$1004=D6)*('Dev 조치사항'!$K$6:$K$1004=_xlfn.MAXIFS('Dev 조치사항'!$K$6:$K$1004, 'Dev 조치사항'!$D$6:$D$1004, D6)), 0))</f>
        <v>정상</v>
      </c>
      <c r="J6" s="16" t="str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>-</v>
      </c>
      <c r="K6" s="31">
        <f>_xlfn.MAXIFS('Dev 조치사항'!$K$6:$K$1004, 'Dev 조치사항'!$D$6:$D$1004, D6)</f>
        <v>46315</v>
      </c>
    </row>
    <row r="7" spans="1:11" ht="27" customHeight="1" x14ac:dyDescent="0.3">
      <c r="A7" s="35"/>
      <c r="B7" s="35"/>
      <c r="C7" s="34" t="s">
        <v>19</v>
      </c>
      <c r="D7" s="2" t="s">
        <v>23</v>
      </c>
      <c r="E7" s="3" t="s">
        <v>127</v>
      </c>
      <c r="F7" s="4" t="s">
        <v>128</v>
      </c>
      <c r="G7" s="3" t="s">
        <v>129</v>
      </c>
      <c r="H7" s="10" t="str">
        <f t="array" ref="H7">INDEX('Dev 조치사항'!$H$6:$H$1004, MATCH(1, ('Dev 조치사항'!$D$6:$D$1004=D7)*('Dev 조치사항'!$K$6:$K$1004=_xlfn.MAXIFS('Dev 조치사항'!$K$6:$K$1004, 'Dev 조치사항'!$D$6:$D$1004, D7)), 0))</f>
        <v>최신영</v>
      </c>
      <c r="I7" s="11" t="str">
        <f t="array" ref="I7">INDEX('Dev 조치사항'!$I$6:$I$1004, MATCH(1, ('Dev 조치사항'!$D$6:$D$1004=D7)*('Dev 조치사항'!$K$6:$K$1004=_xlfn.MAXIFS('Dev 조치사항'!$K$6:$K$1004, 'Dev 조치사항'!$D$6:$D$1004, D7)), 0))</f>
        <v>정상</v>
      </c>
      <c r="J7" s="16" t="str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>-</v>
      </c>
      <c r="K7" s="31">
        <f>_xlfn.MAXIFS('Dev 조치사항'!$K$6:$K$1004, 'Dev 조치사항'!$D$6:$D$1004, D7)</f>
        <v>46315</v>
      </c>
    </row>
    <row r="8" spans="1:11" ht="27" customHeight="1" x14ac:dyDescent="0.3">
      <c r="A8" s="35"/>
      <c r="B8" s="35"/>
      <c r="C8" s="35"/>
      <c r="D8" s="2" t="s">
        <v>24</v>
      </c>
      <c r="E8" s="3" t="s">
        <v>130</v>
      </c>
      <c r="F8" s="4" t="s">
        <v>131</v>
      </c>
      <c r="G8" s="3" t="s">
        <v>132</v>
      </c>
      <c r="H8" s="10" t="str">
        <f t="array" ref="H8">INDEX('Dev 조치사항'!$H$6:$H$1004, MATCH(1, ('Dev 조치사항'!$D$6:$D$1004=D8)*('Dev 조치사항'!$K$6:$K$1004=_xlfn.MAXIFS('Dev 조치사항'!$K$6:$K$1004, 'Dev 조치사항'!$D$6:$D$1004, D8)), 0))</f>
        <v>최신영</v>
      </c>
      <c r="I8" s="11" t="str">
        <f t="array" ref="I8">INDEX('Dev 조치사항'!$I$6:$I$1004, MATCH(1, ('Dev 조치사항'!$D$6:$D$1004=D8)*('Dev 조치사항'!$K$6:$K$1004=_xlfn.MAXIFS('Dev 조치사항'!$K$6:$K$1004, 'Dev 조치사항'!$D$6:$D$1004, D8)), 0))</f>
        <v>정상</v>
      </c>
      <c r="J8" s="16" t="str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>-</v>
      </c>
      <c r="K8" s="31">
        <f>_xlfn.MAXIFS('Dev 조치사항'!$K$6:$K$1004, 'Dev 조치사항'!$D$6:$D$1004, D8)</f>
        <v>46315</v>
      </c>
    </row>
    <row r="9" spans="1:11" ht="27" customHeight="1" x14ac:dyDescent="0.3">
      <c r="A9" s="35"/>
      <c r="B9" s="35"/>
      <c r="C9" s="35"/>
      <c r="D9" s="2" t="s">
        <v>25</v>
      </c>
      <c r="E9" s="3" t="s">
        <v>133</v>
      </c>
      <c r="F9" s="4" t="s">
        <v>134</v>
      </c>
      <c r="G9" s="3" t="s">
        <v>135</v>
      </c>
      <c r="H9" s="10" t="str">
        <f t="array" ref="H9">INDEX('Dev 조치사항'!$H$6:$H$1004, MATCH(1, ('Dev 조치사항'!$D$6:$D$1004=D9)*('Dev 조치사항'!$K$6:$K$1004=_xlfn.MAXIFS('Dev 조치사항'!$K$6:$K$1004, 'Dev 조치사항'!$D$6:$D$1004, D9)), 0))</f>
        <v>최신영</v>
      </c>
      <c r="I9" s="11" t="str">
        <f t="array" ref="I9">INDEX('Dev 조치사항'!$I$6:$I$1004, MATCH(1, ('Dev 조치사항'!$D$6:$D$1004=D9)*('Dev 조치사항'!$K$6:$K$1004=_xlfn.MAXIFS('Dev 조치사항'!$K$6:$K$1004, 'Dev 조치사항'!$D$6:$D$1004, D9)), 0))</f>
        <v>정상</v>
      </c>
      <c r="J9" s="16" t="str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>-</v>
      </c>
      <c r="K9" s="31">
        <f>_xlfn.MAXIFS('Dev 조치사항'!$K$6:$K$1004, 'Dev 조치사항'!$D$6:$D$1004, D9)</f>
        <v>46315</v>
      </c>
    </row>
    <row r="10" spans="1:11" ht="33" customHeight="1" x14ac:dyDescent="0.3">
      <c r="A10" s="35"/>
      <c r="B10" s="35"/>
      <c r="C10" s="35"/>
      <c r="D10" s="2" t="s">
        <v>26</v>
      </c>
      <c r="E10" s="3" t="s">
        <v>136</v>
      </c>
      <c r="F10" s="4" t="s">
        <v>137</v>
      </c>
      <c r="G10" s="3" t="s">
        <v>138</v>
      </c>
      <c r="H10" s="10" t="str">
        <f t="array" ref="H10">INDEX('Dev 조치사항'!$H$6:$H$1004, MATCH(1, ('Dev 조치사항'!$D$6:$D$1004=D10)*('Dev 조치사항'!$K$6:$K$1004=_xlfn.MAXIFS('Dev 조치사항'!$K$6:$K$1004, 'Dev 조치사항'!$D$6:$D$1004, D10)), 0))</f>
        <v>최신영</v>
      </c>
      <c r="I10" s="11" t="str">
        <f t="array" ref="I10">INDEX('Dev 조치사항'!$I$6:$I$1004, MATCH(1, ('Dev 조치사항'!$D$6:$D$1004=D10)*('Dev 조치사항'!$K$6:$K$1004=_xlfn.MAXIFS('Dev 조치사항'!$K$6:$K$1004, 'Dev 조치사항'!$D$6:$D$1004, D10)), 0))</f>
        <v>정상</v>
      </c>
      <c r="J10" s="16" t="str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>-</v>
      </c>
      <c r="K10" s="31">
        <f>_xlfn.MAXIFS('Dev 조치사항'!$K$6:$K$1004, 'Dev 조치사항'!$D$6:$D$1004, D10)</f>
        <v>46315</v>
      </c>
    </row>
    <row r="11" spans="1:11" ht="27" customHeight="1" x14ac:dyDescent="0.3">
      <c r="A11" s="35"/>
      <c r="B11" s="35"/>
      <c r="C11" s="35"/>
      <c r="D11" s="2" t="s">
        <v>27</v>
      </c>
      <c r="E11" s="3" t="s">
        <v>139</v>
      </c>
      <c r="F11" s="4" t="s">
        <v>140</v>
      </c>
      <c r="G11" s="3" t="s">
        <v>141</v>
      </c>
      <c r="H11" s="10" t="str">
        <f t="array" ref="H11">INDEX('Dev 조치사항'!$H$6:$H$1004, MATCH(1, ('Dev 조치사항'!$D$6:$D$1004=D11)*('Dev 조치사항'!$K$6:$K$1004=_xlfn.MAXIFS('Dev 조치사항'!$K$6:$K$1004, 'Dev 조치사항'!$D$6:$D$1004, D11)), 0))</f>
        <v>최신영</v>
      </c>
      <c r="I11" s="11" t="str">
        <f t="array" ref="I11">INDEX('Dev 조치사항'!$I$6:$I$1004, MATCH(1, ('Dev 조치사항'!$D$6:$D$1004=D11)*('Dev 조치사항'!$K$6:$K$1004=_xlfn.MAXIFS('Dev 조치사항'!$K$6:$K$1004, 'Dev 조치사항'!$D$6:$D$1004, D11)), 0))</f>
        <v>정상</v>
      </c>
      <c r="J11" s="16" t="str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>-</v>
      </c>
      <c r="K11" s="31">
        <f>_xlfn.MAXIFS('Dev 조치사항'!$K$6:$K$1004, 'Dev 조치사항'!$D$6:$D$1004, D11)</f>
        <v>46315</v>
      </c>
    </row>
    <row r="12" spans="1:11" ht="27" customHeight="1" x14ac:dyDescent="0.3">
      <c r="A12" s="35"/>
      <c r="B12" s="36"/>
      <c r="C12" s="36"/>
      <c r="D12" s="2" t="s">
        <v>28</v>
      </c>
      <c r="E12" s="3" t="s">
        <v>142</v>
      </c>
      <c r="F12" s="4" t="s">
        <v>143</v>
      </c>
      <c r="G12" s="3" t="s">
        <v>144</v>
      </c>
      <c r="H12" s="10" t="str">
        <f t="array" ref="H12">INDEX('Dev 조치사항'!$H$6:$H$1004, MATCH(1, ('Dev 조치사항'!$D$6:$D$1004=D12)*('Dev 조치사항'!$K$6:$K$1004=_xlfn.MAXIFS('Dev 조치사항'!$K$6:$K$1004, 'Dev 조치사항'!$D$6:$D$1004, D12)), 0))</f>
        <v>최신영</v>
      </c>
      <c r="I12" s="11" t="str">
        <f t="array" ref="I12">INDEX('Dev 조치사항'!$I$6:$I$1004, MATCH(1, ('Dev 조치사항'!$D$6:$D$1004=D12)*('Dev 조치사항'!$K$6:$K$1004=_xlfn.MAXIFS('Dev 조치사항'!$K$6:$K$1004, 'Dev 조치사항'!$D$6:$D$1004, D12)), 0))</f>
        <v>정상</v>
      </c>
      <c r="J12" s="16" t="str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>-</v>
      </c>
      <c r="K12" s="31">
        <f>_xlfn.MAXIFS('Dev 조치사항'!$K$6:$K$1004, 'Dev 조치사항'!$D$6:$D$1004, D12)</f>
        <v>46315</v>
      </c>
    </row>
    <row r="13" spans="1:11" ht="27" customHeight="1" x14ac:dyDescent="0.3">
      <c r="A13" s="35"/>
      <c r="B13" s="2" t="s">
        <v>29</v>
      </c>
      <c r="C13" s="2" t="s">
        <v>19</v>
      </c>
      <c r="D13" s="2" t="s">
        <v>30</v>
      </c>
      <c r="E13" s="3" t="s">
        <v>145</v>
      </c>
      <c r="F13" s="4" t="s">
        <v>146</v>
      </c>
      <c r="G13" s="3" t="s">
        <v>147</v>
      </c>
      <c r="H13" s="10" t="str">
        <f t="array" ref="H13">INDEX('Dev 조치사항'!$H$6:$H$1004, MATCH(1, ('Dev 조치사항'!$D$6:$D$1004=D13)*('Dev 조치사항'!$K$6:$K$1004=_xlfn.MAXIFS('Dev 조치사항'!$K$6:$K$1004, 'Dev 조치사항'!$D$6:$D$1004, D13)), 0))</f>
        <v>최신영</v>
      </c>
      <c r="I13" s="11" t="str">
        <f t="array" ref="I13">INDEX('Dev 조치사항'!$I$6:$I$1004, MATCH(1, ('Dev 조치사항'!$D$6:$D$1004=D13)*('Dev 조치사항'!$K$6:$K$1004=_xlfn.MAXIFS('Dev 조치사항'!$K$6:$K$1004, 'Dev 조치사항'!$D$6:$D$1004, D13)), 0))</f>
        <v>정상</v>
      </c>
      <c r="J13" s="16" t="str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>-</v>
      </c>
      <c r="K13" s="31">
        <f>_xlfn.MAXIFS('Dev 조치사항'!$K$6:$K$1004, 'Dev 조치사항'!$D$6:$D$1004, D13)</f>
        <v>46315</v>
      </c>
    </row>
    <row r="14" spans="1:11" ht="27" customHeight="1" x14ac:dyDescent="0.3">
      <c r="A14" s="35"/>
      <c r="B14" s="34" t="s">
        <v>31</v>
      </c>
      <c r="C14" s="2" t="s">
        <v>32</v>
      </c>
      <c r="D14" s="2" t="s">
        <v>33</v>
      </c>
      <c r="E14" s="3" t="s">
        <v>148</v>
      </c>
      <c r="F14" s="4" t="s">
        <v>149</v>
      </c>
      <c r="G14" s="3" t="s">
        <v>150</v>
      </c>
      <c r="H14" s="10" t="str">
        <f t="array" ref="H14">INDEX('Dev 조치사항'!$H$6:$H$1004, MATCH(1, ('Dev 조치사항'!$D$6:$D$1004=D14)*('Dev 조치사항'!$K$6:$K$1004=_xlfn.MAXIFS('Dev 조치사항'!$K$6:$K$1004, 'Dev 조치사항'!$D$6:$D$1004, D14)), 0))</f>
        <v>최신영</v>
      </c>
      <c r="I14" s="11" t="str">
        <f t="array" ref="I14">INDEX('Dev 조치사항'!$I$6:$I$1004, MATCH(1, ('Dev 조치사항'!$D$6:$D$1004=D14)*('Dev 조치사항'!$K$6:$K$1004=_xlfn.MAXIFS('Dev 조치사항'!$K$6:$K$1004, 'Dev 조치사항'!$D$6:$D$1004, D14)), 0))</f>
        <v>정상</v>
      </c>
      <c r="J14" s="16" t="str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>-</v>
      </c>
      <c r="K14" s="31">
        <f>_xlfn.MAXIFS('Dev 조치사항'!$K$6:$K$1004, 'Dev 조치사항'!$D$6:$D$1004, D14)</f>
        <v>46315</v>
      </c>
    </row>
    <row r="15" spans="1:11" ht="27" customHeight="1" x14ac:dyDescent="0.3">
      <c r="A15" s="35"/>
      <c r="B15" s="35"/>
      <c r="C15" s="34" t="s">
        <v>32</v>
      </c>
      <c r="D15" s="2" t="s">
        <v>34</v>
      </c>
      <c r="E15" s="3" t="s">
        <v>151</v>
      </c>
      <c r="F15" s="4" t="s">
        <v>152</v>
      </c>
      <c r="G15" s="3" t="s">
        <v>153</v>
      </c>
      <c r="H15" s="10" t="str">
        <f t="array" ref="H15">INDEX('Dev 조치사항'!$H$6:$H$1004, MATCH(1, ('Dev 조치사항'!$D$6:$D$1004=D15)*('Dev 조치사항'!$K$6:$K$1004=_xlfn.MAXIFS('Dev 조치사항'!$K$6:$K$1004, 'Dev 조치사항'!$D$6:$D$1004, D15)), 0))</f>
        <v>최신영</v>
      </c>
      <c r="I15" s="11" t="str">
        <f t="array" ref="I15">INDEX('Dev 조치사항'!$I$6:$I$1004, MATCH(1, ('Dev 조치사항'!$D$6:$D$1004=D15)*('Dev 조치사항'!$K$6:$K$1004=_xlfn.MAXIFS('Dev 조치사항'!$K$6:$K$1004, 'Dev 조치사항'!$D$6:$D$1004, D15)), 0))</f>
        <v>정상</v>
      </c>
      <c r="J15" s="16" t="str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>-</v>
      </c>
      <c r="K15" s="31">
        <f>_xlfn.MAXIFS('Dev 조치사항'!$K$6:$K$1004, 'Dev 조치사항'!$D$6:$D$1004, D15)</f>
        <v>46315</v>
      </c>
    </row>
    <row r="16" spans="1:11" ht="27" customHeight="1" x14ac:dyDescent="0.3">
      <c r="A16" s="35"/>
      <c r="B16" s="35"/>
      <c r="C16" s="35"/>
      <c r="D16" s="2" t="s">
        <v>35</v>
      </c>
      <c r="E16" s="3" t="s">
        <v>154</v>
      </c>
      <c r="F16" s="4" t="s">
        <v>155</v>
      </c>
      <c r="G16" s="3" t="s">
        <v>156</v>
      </c>
      <c r="H16" s="10" t="str">
        <f t="array" ref="H16">INDEX('Dev 조치사항'!$H$6:$H$1004, MATCH(1, ('Dev 조치사항'!$D$6:$D$1004=D16)*('Dev 조치사항'!$K$6:$K$1004=_xlfn.MAXIFS('Dev 조치사항'!$K$6:$K$1004, 'Dev 조치사항'!$D$6:$D$1004, D16)), 0))</f>
        <v>최신영</v>
      </c>
      <c r="I16" s="11" t="str">
        <f t="array" ref="I16">INDEX('Dev 조치사항'!$I$6:$I$1004, MATCH(1, ('Dev 조치사항'!$D$6:$D$1004=D16)*('Dev 조치사항'!$K$6:$K$1004=_xlfn.MAXIFS('Dev 조치사항'!$K$6:$K$1004, 'Dev 조치사항'!$D$6:$D$1004, D16)), 0))</f>
        <v>정상</v>
      </c>
      <c r="J16" s="16" t="str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>-</v>
      </c>
      <c r="K16" s="31">
        <f>_xlfn.MAXIFS('Dev 조치사항'!$K$6:$K$1004, 'Dev 조치사항'!$D$6:$D$1004, D16)</f>
        <v>46315</v>
      </c>
    </row>
    <row r="17" spans="1:11" x14ac:dyDescent="0.3">
      <c r="A17" s="35"/>
      <c r="B17" s="35"/>
      <c r="C17" s="35"/>
      <c r="D17" s="2" t="s">
        <v>36</v>
      </c>
      <c r="E17" s="3" t="s">
        <v>157</v>
      </c>
      <c r="F17" s="4" t="s">
        <v>158</v>
      </c>
      <c r="G17" s="3" t="s">
        <v>159</v>
      </c>
      <c r="H17" s="10" t="str">
        <f t="array" ref="H17">INDEX('Dev 조치사항'!$H$6:$H$1004, MATCH(1, ('Dev 조치사항'!$D$6:$D$1004=D17)*('Dev 조치사항'!$K$6:$K$1004=_xlfn.MAXIFS('Dev 조치사항'!$K$6:$K$1004, 'Dev 조치사항'!$D$6:$D$1004, D17)), 0))</f>
        <v>최신영</v>
      </c>
      <c r="I17" s="11" t="str">
        <f t="array" ref="I17">INDEX('Dev 조치사항'!$I$6:$I$1004, MATCH(1, ('Dev 조치사항'!$D$6:$D$1004=D17)*('Dev 조치사항'!$K$6:$K$1004=_xlfn.MAXIFS('Dev 조치사항'!$K$6:$K$1004, 'Dev 조치사항'!$D$6:$D$1004, D17)), 0))</f>
        <v>정상</v>
      </c>
      <c r="J17" s="16" t="str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>-</v>
      </c>
      <c r="K17" s="31">
        <f>_xlfn.MAXIFS('Dev 조치사항'!$K$6:$K$1004, 'Dev 조치사항'!$D$6:$D$1004, D17)</f>
        <v>46315</v>
      </c>
    </row>
    <row r="18" spans="1:11" ht="54" customHeight="1" x14ac:dyDescent="0.3">
      <c r="A18" s="35"/>
      <c r="B18" s="35"/>
      <c r="C18" s="35"/>
      <c r="D18" s="2" t="s">
        <v>37</v>
      </c>
      <c r="E18" s="3" t="s">
        <v>160</v>
      </c>
      <c r="F18" s="4" t="s">
        <v>161</v>
      </c>
      <c r="G18" s="3" t="s">
        <v>162</v>
      </c>
      <c r="H18" s="10" t="str">
        <f t="array" ref="H18">INDEX('Dev 조치사항'!$H$6:$H$1004, MATCH(1, ('Dev 조치사항'!$D$6:$D$1004=D18)*('Dev 조치사항'!$K$6:$K$1004=_xlfn.MAXIFS('Dev 조치사항'!$K$6:$K$1004, 'Dev 조치사항'!$D$6:$D$1004, D18)), 0))</f>
        <v>최신영</v>
      </c>
      <c r="I18" s="11" t="str">
        <f t="array" ref="I18">INDEX('Dev 조치사항'!$I$6:$I$1004, MATCH(1, ('Dev 조치사항'!$D$6:$D$1004=D18)*('Dev 조치사항'!$K$6:$K$1004=_xlfn.MAXIFS('Dev 조치사항'!$K$6:$K$1004, 'Dev 조치사항'!$D$6:$D$1004, D18)), 0))</f>
        <v>정상</v>
      </c>
      <c r="J18" s="16" t="str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>-</v>
      </c>
      <c r="K18" s="31">
        <f>_xlfn.MAXIFS('Dev 조치사항'!$K$6:$K$1004, 'Dev 조치사항'!$D$6:$D$1004, D18)</f>
        <v>46315</v>
      </c>
    </row>
    <row r="19" spans="1:11" ht="40.5" customHeight="1" x14ac:dyDescent="0.3">
      <c r="A19" s="35"/>
      <c r="B19" s="35"/>
      <c r="C19" s="35"/>
      <c r="D19" s="2" t="s">
        <v>38</v>
      </c>
      <c r="E19" s="3" t="s">
        <v>163</v>
      </c>
      <c r="F19" s="4" t="s">
        <v>164</v>
      </c>
      <c r="G19" s="3" t="s">
        <v>165</v>
      </c>
      <c r="H19" s="10" t="str">
        <f t="array" ref="H19">INDEX('Dev 조치사항'!$H$6:$H$1004, MATCH(1, ('Dev 조치사항'!$D$6:$D$1004=D19)*('Dev 조치사항'!$K$6:$K$1004=_xlfn.MAXIFS('Dev 조치사항'!$K$6:$K$1004, 'Dev 조치사항'!$D$6:$D$1004, D19)), 0))</f>
        <v>최신영</v>
      </c>
      <c r="I19" s="11" t="str">
        <f t="array" ref="I19">INDEX('Dev 조치사항'!$I$6:$I$1004, MATCH(1, ('Dev 조치사항'!$D$6:$D$1004=D19)*('Dev 조치사항'!$K$6:$K$1004=_xlfn.MAXIFS('Dev 조치사항'!$K$6:$K$1004, 'Dev 조치사항'!$D$6:$D$1004, D19)), 0))</f>
        <v>정상</v>
      </c>
      <c r="J19" s="16" t="str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>-</v>
      </c>
      <c r="K19" s="31">
        <f>_xlfn.MAXIFS('Dev 조치사항'!$K$6:$K$1004, 'Dev 조치사항'!$D$6:$D$1004, D19)</f>
        <v>46315</v>
      </c>
    </row>
    <row r="20" spans="1:11" ht="27" customHeight="1" x14ac:dyDescent="0.3">
      <c r="A20" s="35"/>
      <c r="B20" s="35"/>
      <c r="C20" s="35"/>
      <c r="D20" s="2" t="s">
        <v>39</v>
      </c>
      <c r="E20" s="3" t="s">
        <v>166</v>
      </c>
      <c r="F20" s="4" t="s">
        <v>167</v>
      </c>
      <c r="G20" s="3" t="s">
        <v>168</v>
      </c>
      <c r="H20" s="10" t="str">
        <f t="array" ref="H20">INDEX('Dev 조치사항'!$H$6:$H$1004, MATCH(1, ('Dev 조치사항'!$D$6:$D$1004=D20)*('Dev 조치사항'!$K$6:$K$1004=_xlfn.MAXIFS('Dev 조치사항'!$K$6:$K$1004, 'Dev 조치사항'!$D$6:$D$1004, D20)), 0))</f>
        <v>최신영</v>
      </c>
      <c r="I20" s="11" t="str">
        <f t="array" ref="I20">INDEX('Dev 조치사항'!$I$6:$I$1004, MATCH(1, ('Dev 조치사항'!$D$6:$D$1004=D20)*('Dev 조치사항'!$K$6:$K$1004=_xlfn.MAXIFS('Dev 조치사항'!$K$6:$K$1004, 'Dev 조치사항'!$D$6:$D$1004, D20)), 0))</f>
        <v>정상</v>
      </c>
      <c r="J20" s="16" t="str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>-</v>
      </c>
      <c r="K20" s="31">
        <f>_xlfn.MAXIFS('Dev 조치사항'!$K$6:$K$1004, 'Dev 조치사항'!$D$6:$D$1004, D20)</f>
        <v>46315</v>
      </c>
    </row>
    <row r="21" spans="1:11" ht="27" customHeight="1" x14ac:dyDescent="0.3">
      <c r="A21" s="35"/>
      <c r="B21" s="35"/>
      <c r="C21" s="36"/>
      <c r="D21" s="2" t="s">
        <v>40</v>
      </c>
      <c r="E21" s="3" t="s">
        <v>169</v>
      </c>
      <c r="F21" s="4" t="s">
        <v>170</v>
      </c>
      <c r="G21" s="3" t="s">
        <v>171</v>
      </c>
      <c r="H21" s="10" t="str">
        <f t="array" ref="H21">INDEX('Dev 조치사항'!$H$6:$H$1004, MATCH(1, ('Dev 조치사항'!$D$6:$D$1004=D21)*('Dev 조치사항'!$K$6:$K$1004=_xlfn.MAXIFS('Dev 조치사항'!$K$6:$K$1004, 'Dev 조치사항'!$D$6:$D$1004, D21)), 0))</f>
        <v>최신영</v>
      </c>
      <c r="I21" s="11" t="str">
        <f t="array" ref="I21">INDEX('Dev 조치사항'!$I$6:$I$1004, MATCH(1, ('Dev 조치사항'!$D$6:$D$1004=D21)*('Dev 조치사항'!$K$6:$K$1004=_xlfn.MAXIFS('Dev 조치사항'!$K$6:$K$1004, 'Dev 조치사항'!$D$6:$D$1004, D21)), 0))</f>
        <v>정상</v>
      </c>
      <c r="J21" s="16" t="str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>-</v>
      </c>
      <c r="K21" s="31">
        <f>_xlfn.MAXIFS('Dev 조치사항'!$K$6:$K$1004, 'Dev 조치사항'!$D$6:$D$1004, D21)</f>
        <v>46315</v>
      </c>
    </row>
    <row r="22" spans="1:11" ht="66" customHeight="1" x14ac:dyDescent="0.3">
      <c r="A22" s="35"/>
      <c r="B22" s="35"/>
      <c r="C22" s="2" t="s">
        <v>41</v>
      </c>
      <c r="D22" s="2" t="s">
        <v>42</v>
      </c>
      <c r="E22" s="3" t="s">
        <v>172</v>
      </c>
      <c r="F22" s="4" t="s">
        <v>173</v>
      </c>
      <c r="G22" s="3" t="s">
        <v>174</v>
      </c>
      <c r="H22" s="10" t="str">
        <f t="array" ref="H22">INDEX('Dev 조치사항'!$H$6:$H$1004, MATCH(1, ('Dev 조치사항'!$D$6:$D$1004=D22)*('Dev 조치사항'!$K$6:$K$1004=_xlfn.MAXIFS('Dev 조치사항'!$K$6:$K$1004, 'Dev 조치사항'!$D$6:$D$1004, D22)), 0))</f>
        <v>최신영</v>
      </c>
      <c r="I22" s="11" t="str">
        <f t="array" ref="I22">INDEX('Dev 조치사항'!$I$6:$I$1004, MATCH(1, ('Dev 조치사항'!$D$6:$D$1004=D22)*('Dev 조치사항'!$K$6:$K$1004=_xlfn.MAXIFS('Dev 조치사항'!$K$6:$K$1004, 'Dev 조치사항'!$D$6:$D$1004, D22)), 0))</f>
        <v>정상</v>
      </c>
      <c r="J22" s="16" t="str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>-</v>
      </c>
      <c r="K22" s="31">
        <f>_xlfn.MAXIFS('Dev 조치사항'!$K$6:$K$1004, 'Dev 조치사항'!$D$6:$D$1004, D22)</f>
        <v>46315</v>
      </c>
    </row>
    <row r="23" spans="1:11" ht="27" customHeight="1" x14ac:dyDescent="0.3">
      <c r="A23" s="35"/>
      <c r="B23" s="35"/>
      <c r="C23" s="34" t="s">
        <v>43</v>
      </c>
      <c r="D23" s="2" t="s">
        <v>44</v>
      </c>
      <c r="E23" s="3" t="s">
        <v>175</v>
      </c>
      <c r="F23" s="4" t="s">
        <v>176</v>
      </c>
      <c r="G23" s="3" t="s">
        <v>177</v>
      </c>
      <c r="H23" s="10" t="str">
        <f t="array" ref="H23">INDEX('Dev 조치사항'!$H$6:$H$1004, MATCH(1, ('Dev 조치사항'!$D$6:$D$1004=D23)*('Dev 조치사항'!$K$6:$K$1004=_xlfn.MAXIFS('Dev 조치사항'!$K$6:$K$1004, 'Dev 조치사항'!$D$6:$D$1004, D23)), 0))</f>
        <v>최신영</v>
      </c>
      <c r="I23" s="11" t="str">
        <f t="array" ref="I23">INDEX('Dev 조치사항'!$I$6:$I$1004, MATCH(1, ('Dev 조치사항'!$D$6:$D$1004=D23)*('Dev 조치사항'!$K$6:$K$1004=_xlfn.MAXIFS('Dev 조치사항'!$K$6:$K$1004, 'Dev 조치사항'!$D$6:$D$1004, D23)), 0))</f>
        <v>정상</v>
      </c>
      <c r="J23" s="16" t="str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>-</v>
      </c>
      <c r="K23" s="31">
        <f>_xlfn.MAXIFS('Dev 조치사항'!$K$6:$K$1004, 'Dev 조치사항'!$D$6:$D$1004, D23)</f>
        <v>46315</v>
      </c>
    </row>
    <row r="24" spans="1:11" ht="54" customHeight="1" x14ac:dyDescent="0.3">
      <c r="A24" s="35"/>
      <c r="B24" s="35"/>
      <c r="C24" s="35"/>
      <c r="D24" s="2" t="s">
        <v>45</v>
      </c>
      <c r="E24" s="3" t="s">
        <v>178</v>
      </c>
      <c r="F24" s="4" t="s">
        <v>179</v>
      </c>
      <c r="G24" s="3" t="s">
        <v>180</v>
      </c>
      <c r="H24" s="10" t="str">
        <f t="array" ref="H24">INDEX('Dev 조치사항'!$H$6:$H$1004, MATCH(1, ('Dev 조치사항'!$D$6:$D$1004=D24)*('Dev 조치사항'!$K$6:$K$1004=_xlfn.MAXIFS('Dev 조치사항'!$K$6:$K$1004, 'Dev 조치사항'!$D$6:$D$1004, D24)), 0))</f>
        <v>최신영</v>
      </c>
      <c r="I24" s="11" t="str">
        <f t="array" ref="I24">INDEX('Dev 조치사항'!$I$6:$I$1004, MATCH(1, ('Dev 조치사항'!$D$6:$D$1004=D24)*('Dev 조치사항'!$K$6:$K$1004=_xlfn.MAXIFS('Dev 조치사항'!$K$6:$K$1004, 'Dev 조치사항'!$D$6:$D$1004, D24)), 0))</f>
        <v>정상</v>
      </c>
      <c r="J24" s="16" t="str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>-</v>
      </c>
      <c r="K24" s="31">
        <f>_xlfn.MAXIFS('Dev 조치사항'!$K$6:$K$1004, 'Dev 조치사항'!$D$6:$D$1004, D24)</f>
        <v>46315</v>
      </c>
    </row>
    <row r="25" spans="1:11" ht="27" customHeight="1" x14ac:dyDescent="0.3">
      <c r="A25" s="35"/>
      <c r="B25" s="35"/>
      <c r="C25" s="36"/>
      <c r="D25" s="2" t="s">
        <v>46</v>
      </c>
      <c r="E25" s="3" t="s">
        <v>181</v>
      </c>
      <c r="F25" s="4" t="s">
        <v>182</v>
      </c>
      <c r="G25" s="3" t="s">
        <v>183</v>
      </c>
      <c r="H25" s="10" t="str">
        <f t="array" ref="H25">INDEX('Dev 조치사항'!$H$6:$H$1004, MATCH(1, ('Dev 조치사항'!$D$6:$D$1004=D25)*('Dev 조치사항'!$K$6:$K$1004=_xlfn.MAXIFS('Dev 조치사항'!$K$6:$K$1004, 'Dev 조치사항'!$D$6:$D$1004, D25)), 0))</f>
        <v>최신영</v>
      </c>
      <c r="I25" s="11" t="str">
        <f t="array" ref="I25">INDEX('Dev 조치사항'!$I$6:$I$1004, MATCH(1, ('Dev 조치사항'!$D$6:$D$1004=D25)*('Dev 조치사항'!$K$6:$K$1004=_xlfn.MAXIFS('Dev 조치사항'!$K$6:$K$1004, 'Dev 조치사항'!$D$6:$D$1004, D25)), 0))</f>
        <v>정상</v>
      </c>
      <c r="J25" s="16" t="str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>-</v>
      </c>
      <c r="K25" s="31">
        <f>_xlfn.MAXIFS('Dev 조치사항'!$K$6:$K$1004, 'Dev 조치사항'!$D$6:$D$1004, D25)</f>
        <v>46315</v>
      </c>
    </row>
    <row r="26" spans="1:11" ht="27" customHeight="1" x14ac:dyDescent="0.3">
      <c r="A26" s="35"/>
      <c r="B26" s="35"/>
      <c r="C26" s="34" t="s">
        <v>47</v>
      </c>
      <c r="D26" s="2" t="s">
        <v>48</v>
      </c>
      <c r="E26" s="3" t="s">
        <v>184</v>
      </c>
      <c r="F26" s="4" t="s">
        <v>185</v>
      </c>
      <c r="G26" s="3" t="s">
        <v>186</v>
      </c>
      <c r="H26" s="10" t="str">
        <f t="array" ref="H26">INDEX('Dev 조치사항'!$H$6:$H$1004, MATCH(1, ('Dev 조치사항'!$D$6:$D$1004=D26)*('Dev 조치사항'!$K$6:$K$1004=_xlfn.MAXIFS('Dev 조치사항'!$K$6:$K$1004, 'Dev 조치사항'!$D$6:$D$1004, D26)), 0))</f>
        <v>최신영</v>
      </c>
      <c r="I26" s="11" t="str">
        <f t="array" ref="I26">INDEX('Dev 조치사항'!$I$6:$I$1004, MATCH(1, ('Dev 조치사항'!$D$6:$D$1004=D26)*('Dev 조치사항'!$K$6:$K$1004=_xlfn.MAXIFS('Dev 조치사항'!$K$6:$K$1004, 'Dev 조치사항'!$D$6:$D$1004, D26)), 0))</f>
        <v>정상</v>
      </c>
      <c r="J26" s="16" t="str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>-</v>
      </c>
      <c r="K26" s="31">
        <f>_xlfn.MAXIFS('Dev 조치사항'!$K$6:$K$1004, 'Dev 조치사항'!$D$6:$D$1004, D26)</f>
        <v>46315</v>
      </c>
    </row>
    <row r="27" spans="1:11" ht="27" customHeight="1" x14ac:dyDescent="0.3">
      <c r="A27" s="35"/>
      <c r="B27" s="35"/>
      <c r="C27" s="36"/>
      <c r="D27" s="2" t="s">
        <v>49</v>
      </c>
      <c r="E27" s="3" t="s">
        <v>187</v>
      </c>
      <c r="F27" s="4" t="s">
        <v>188</v>
      </c>
      <c r="G27" s="3" t="s">
        <v>189</v>
      </c>
      <c r="H27" s="10" t="str">
        <f t="array" ref="H27">INDEX('Dev 조치사항'!$H$6:$H$1004, MATCH(1, ('Dev 조치사항'!$D$6:$D$1004=D27)*('Dev 조치사항'!$K$6:$K$1004=_xlfn.MAXIFS('Dev 조치사항'!$K$6:$K$1004, 'Dev 조치사항'!$D$6:$D$1004, D27)), 0))</f>
        <v>최신영</v>
      </c>
      <c r="I27" s="11" t="str">
        <f t="array" ref="I27">INDEX('Dev 조치사항'!$I$6:$I$1004, MATCH(1, ('Dev 조치사항'!$D$6:$D$1004=D27)*('Dev 조치사항'!$K$6:$K$1004=_xlfn.MAXIFS('Dev 조치사항'!$K$6:$K$1004, 'Dev 조치사항'!$D$6:$D$1004, D27)), 0))</f>
        <v>정상</v>
      </c>
      <c r="J27" s="16" t="str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>-</v>
      </c>
      <c r="K27" s="31">
        <f>_xlfn.MAXIFS('Dev 조치사항'!$K$6:$K$1004, 'Dev 조치사항'!$D$6:$D$1004, D27)</f>
        <v>46315</v>
      </c>
    </row>
    <row r="28" spans="1:11" ht="27" customHeight="1" x14ac:dyDescent="0.3">
      <c r="A28" s="35"/>
      <c r="B28" s="35"/>
      <c r="C28" s="34" t="s">
        <v>50</v>
      </c>
      <c r="D28" s="2" t="s">
        <v>51</v>
      </c>
      <c r="E28" s="3" t="s">
        <v>190</v>
      </c>
      <c r="F28" s="4" t="s">
        <v>191</v>
      </c>
      <c r="G28" s="3" t="s">
        <v>192</v>
      </c>
      <c r="H28" s="10" t="str">
        <f t="array" ref="H28">INDEX('Dev 조치사항'!$H$6:$H$1004, MATCH(1, ('Dev 조치사항'!$D$6:$D$1004=D28)*('Dev 조치사항'!$K$6:$K$1004=_xlfn.MAXIFS('Dev 조치사항'!$K$6:$K$1004, 'Dev 조치사항'!$D$6:$D$1004, D28)), 0))</f>
        <v>최신영</v>
      </c>
      <c r="I28" s="11" t="str">
        <f t="array" ref="I28">INDEX('Dev 조치사항'!$I$6:$I$1004, MATCH(1, ('Dev 조치사항'!$D$6:$D$1004=D28)*('Dev 조치사항'!$K$6:$K$1004=_xlfn.MAXIFS('Dev 조치사항'!$K$6:$K$1004, 'Dev 조치사항'!$D$6:$D$1004, D28)), 0))</f>
        <v>정상</v>
      </c>
      <c r="J28" s="16" t="str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>-</v>
      </c>
      <c r="K28" s="31">
        <f>_xlfn.MAXIFS('Dev 조치사항'!$K$6:$K$1004, 'Dev 조치사항'!$D$6:$D$1004, D28)</f>
        <v>46315</v>
      </c>
    </row>
    <row r="29" spans="1:11" ht="27" customHeight="1" x14ac:dyDescent="0.3">
      <c r="A29" s="35"/>
      <c r="B29" s="35"/>
      <c r="C29" s="36"/>
      <c r="D29" s="2" t="s">
        <v>52</v>
      </c>
      <c r="E29" s="3" t="s">
        <v>193</v>
      </c>
      <c r="F29" s="4" t="s">
        <v>194</v>
      </c>
      <c r="G29" s="3" t="s">
        <v>195</v>
      </c>
      <c r="H29" s="10" t="str">
        <f t="array" ref="H29">INDEX('Dev 조치사항'!$H$6:$H$1004, MATCH(1, ('Dev 조치사항'!$D$6:$D$1004=D29)*('Dev 조치사항'!$K$6:$K$1004=_xlfn.MAXIFS('Dev 조치사항'!$K$6:$K$1004, 'Dev 조치사항'!$D$6:$D$1004, D29)), 0))</f>
        <v>최신영</v>
      </c>
      <c r="I29" s="11" t="str">
        <f t="array" ref="I29">INDEX('Dev 조치사항'!$I$6:$I$1004, MATCH(1, ('Dev 조치사항'!$D$6:$D$1004=D29)*('Dev 조치사항'!$K$6:$K$1004=_xlfn.MAXIFS('Dev 조치사항'!$K$6:$K$1004, 'Dev 조치사항'!$D$6:$D$1004, D29)), 0))</f>
        <v>정상</v>
      </c>
      <c r="J29" s="16" t="str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>[개선] 목록에서 아무것도 체크하지 않고 [삭제] → '선택하세요' 같은 안내 메시지 없음 (확인창이 뜨면 Cancel)</v>
      </c>
      <c r="K29" s="31">
        <f>_xlfn.MAXIFS('Dev 조치사항'!$K$6:$K$1004, 'Dev 조치사항'!$D$6:$D$1004, D29)</f>
        <v>46315</v>
      </c>
    </row>
    <row r="30" spans="1:11" ht="27" customHeight="1" x14ac:dyDescent="0.3">
      <c r="A30" s="35"/>
      <c r="B30" s="35"/>
      <c r="C30" s="2" t="s">
        <v>54</v>
      </c>
      <c r="D30" s="2" t="s">
        <v>55</v>
      </c>
      <c r="E30" s="3" t="s">
        <v>196</v>
      </c>
      <c r="F30" s="4" t="s">
        <v>197</v>
      </c>
      <c r="G30" s="3" t="s">
        <v>198</v>
      </c>
      <c r="H30" s="10" t="str">
        <f t="array" ref="H30">INDEX('Dev 조치사항'!$H$6:$H$1004, MATCH(1, ('Dev 조치사항'!$D$6:$D$1004=D30)*('Dev 조치사항'!$K$6:$K$1004=_xlfn.MAXIFS('Dev 조치사항'!$K$6:$K$1004, 'Dev 조치사항'!$D$6:$D$1004, D30)), 0))</f>
        <v>최신영</v>
      </c>
      <c r="I30" s="11" t="str">
        <f t="array" ref="I30">INDEX('Dev 조치사항'!$I$6:$I$1004, MATCH(1, ('Dev 조치사항'!$D$6:$D$1004=D30)*('Dev 조치사항'!$K$6:$K$1004=_xlfn.MAXIFS('Dev 조치사항'!$K$6:$K$1004, 'Dev 조치사항'!$D$6:$D$1004, D30)), 0))</f>
        <v>정상</v>
      </c>
      <c r="J30" s="16" t="str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>-</v>
      </c>
      <c r="K30" s="31">
        <f>_xlfn.MAXIFS('Dev 조치사항'!$K$6:$K$1004, 'Dev 조치사항'!$D$6:$D$1004, D30)</f>
        <v>46315</v>
      </c>
    </row>
    <row r="31" spans="1:11" ht="27" customHeight="1" x14ac:dyDescent="0.3">
      <c r="A31" s="35"/>
      <c r="B31" s="35"/>
      <c r="C31" s="2" t="s">
        <v>56</v>
      </c>
      <c r="D31" s="2" t="s">
        <v>57</v>
      </c>
      <c r="E31" s="3" t="s">
        <v>199</v>
      </c>
      <c r="F31" s="4" t="s">
        <v>200</v>
      </c>
      <c r="G31" s="3" t="s">
        <v>201</v>
      </c>
      <c r="H31" s="10" t="str">
        <f t="array" ref="H31">INDEX('Dev 조치사항'!$H$6:$H$1004, MATCH(1, ('Dev 조치사항'!$D$6:$D$1004=D31)*('Dev 조치사항'!$K$6:$K$1004=_xlfn.MAXIFS('Dev 조치사항'!$K$6:$K$1004, 'Dev 조치사항'!$D$6:$D$1004, D31)), 0))</f>
        <v>최신영</v>
      </c>
      <c r="I31" s="11" t="str">
        <f t="array" ref="I31">INDEX('Dev 조치사항'!$I$6:$I$1004, MATCH(1, ('Dev 조치사항'!$D$6:$D$1004=D31)*('Dev 조치사항'!$K$6:$K$1004=_xlfn.MAXIFS('Dev 조치사항'!$K$6:$K$1004, 'Dev 조치사항'!$D$6:$D$1004, D31)), 0))</f>
        <v>정상</v>
      </c>
      <c r="J31" s="16" t="str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>-</v>
      </c>
      <c r="K31" s="31">
        <f>_xlfn.MAXIFS('Dev 조치사항'!$K$6:$K$1004, 'Dev 조치사항'!$D$6:$D$1004, D31)</f>
        <v>46315</v>
      </c>
    </row>
    <row r="32" spans="1:11" ht="27" customHeight="1" x14ac:dyDescent="0.3">
      <c r="A32" s="35"/>
      <c r="B32" s="35"/>
      <c r="C32" s="34" t="s">
        <v>58</v>
      </c>
      <c r="D32" s="2" t="s">
        <v>59</v>
      </c>
      <c r="E32" s="3" t="s">
        <v>202</v>
      </c>
      <c r="F32" s="4" t="s">
        <v>203</v>
      </c>
      <c r="G32" s="3" t="s">
        <v>204</v>
      </c>
      <c r="H32" s="10" t="str">
        <f t="array" ref="H32">INDEX('Dev 조치사항'!$H$6:$H$1004, MATCH(1, ('Dev 조치사항'!$D$6:$D$1004=D32)*('Dev 조치사항'!$K$6:$K$1004=_xlfn.MAXIFS('Dev 조치사항'!$K$6:$K$1004, 'Dev 조치사항'!$D$6:$D$1004, D32)), 0))</f>
        <v>최신영</v>
      </c>
      <c r="I32" s="11" t="str">
        <f t="array" ref="I32">INDEX('Dev 조치사항'!$I$6:$I$1004, MATCH(1, ('Dev 조치사항'!$D$6:$D$1004=D32)*('Dev 조치사항'!$K$6:$K$1004=_xlfn.MAXIFS('Dev 조치사항'!$K$6:$K$1004, 'Dev 조치사항'!$D$6:$D$1004, D32)), 0))</f>
        <v>정상</v>
      </c>
      <c r="J32" s="16" t="str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>-</v>
      </c>
      <c r="K32" s="31">
        <f>_xlfn.MAXIFS('Dev 조치사항'!$K$6:$K$1004, 'Dev 조치사항'!$D$6:$D$1004, D32)</f>
        <v>46315</v>
      </c>
    </row>
    <row r="33" spans="1:11" ht="27" customHeight="1" x14ac:dyDescent="0.3">
      <c r="A33" s="35"/>
      <c r="B33" s="35"/>
      <c r="C33" s="36"/>
      <c r="D33" s="2" t="s">
        <v>60</v>
      </c>
      <c r="E33" s="3" t="s">
        <v>205</v>
      </c>
      <c r="F33" s="4" t="s">
        <v>206</v>
      </c>
      <c r="G33" s="3" t="s">
        <v>207</v>
      </c>
      <c r="H33" s="10" t="str">
        <f t="array" ref="H33">INDEX('Dev 조치사항'!$H$6:$H$1004, MATCH(1, ('Dev 조치사항'!$D$6:$D$1004=D33)*('Dev 조치사항'!$K$6:$K$1004=_xlfn.MAXIFS('Dev 조치사항'!$K$6:$K$1004, 'Dev 조치사항'!$D$6:$D$1004, D33)), 0))</f>
        <v>최신영</v>
      </c>
      <c r="I33" s="11" t="str">
        <f t="array" ref="I33">INDEX('Dev 조치사항'!$I$6:$I$1004, MATCH(1, ('Dev 조치사항'!$D$6:$D$1004=D33)*('Dev 조치사항'!$K$6:$K$1004=_xlfn.MAXIFS('Dev 조치사항'!$K$6:$K$1004, 'Dev 조치사항'!$D$6:$D$1004, D33)), 0))</f>
        <v>정상</v>
      </c>
      <c r="J33" s="16" t="str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>[개선] 저장 전에 [일정생성] → 확인창·안내 없이 아무 반응 없음.
(저장 후 일정생성도 완료 안내는 없음)</v>
      </c>
      <c r="K33" s="31">
        <f>_xlfn.MAXIFS('Dev 조치사항'!$K$6:$K$1004, 'Dev 조치사항'!$D$6:$D$1004, D33)</f>
        <v>46315</v>
      </c>
    </row>
    <row r="34" spans="1:11" ht="27" customHeight="1" x14ac:dyDescent="0.3">
      <c r="A34" s="35"/>
      <c r="B34" s="35"/>
      <c r="C34" s="34" t="s">
        <v>62</v>
      </c>
      <c r="D34" s="2" t="s">
        <v>63</v>
      </c>
      <c r="E34" s="3" t="s">
        <v>208</v>
      </c>
      <c r="F34" s="4" t="s">
        <v>209</v>
      </c>
      <c r="G34" s="3" t="s">
        <v>210</v>
      </c>
      <c r="H34" s="10" t="str">
        <f t="array" ref="H34">INDEX('Dev 조치사항'!$H$6:$H$1004, MATCH(1, ('Dev 조치사항'!$D$6:$D$1004=D34)*('Dev 조치사항'!$K$6:$K$1004=_xlfn.MAXIFS('Dev 조치사항'!$K$6:$K$1004, 'Dev 조치사항'!$D$6:$D$1004, D34)), 0))</f>
        <v>최신영</v>
      </c>
      <c r="I34" s="11" t="str">
        <f t="array" ref="I34">INDEX('Dev 조치사항'!$I$6:$I$1004, MATCH(1, ('Dev 조치사항'!$D$6:$D$1004=D34)*('Dev 조치사항'!$K$6:$K$1004=_xlfn.MAXIFS('Dev 조치사항'!$K$6:$K$1004, 'Dev 조치사항'!$D$6:$D$1004, D34)), 0))</f>
        <v>정상</v>
      </c>
      <c r="J34" s="16" t="str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>-</v>
      </c>
      <c r="K34" s="31">
        <f>_xlfn.MAXIFS('Dev 조치사항'!$K$6:$K$1004, 'Dev 조치사항'!$D$6:$D$1004, D34)</f>
        <v>46315</v>
      </c>
    </row>
    <row r="35" spans="1:11" ht="27" customHeight="1" x14ac:dyDescent="0.3">
      <c r="A35" s="35"/>
      <c r="B35" s="36"/>
      <c r="C35" s="36"/>
      <c r="D35" s="2" t="s">
        <v>64</v>
      </c>
      <c r="E35" s="3" t="s">
        <v>211</v>
      </c>
      <c r="F35" s="4" t="s">
        <v>212</v>
      </c>
      <c r="G35" s="3" t="s">
        <v>213</v>
      </c>
      <c r="H35" s="10" t="str">
        <f t="array" ref="H35">INDEX('Dev 조치사항'!$H$6:$H$1004, MATCH(1, ('Dev 조치사항'!$D$6:$D$1004=D35)*('Dev 조치사항'!$K$6:$K$1004=_xlfn.MAXIFS('Dev 조치사항'!$K$6:$K$1004, 'Dev 조치사항'!$D$6:$D$1004, D35)), 0))</f>
        <v>최신영</v>
      </c>
      <c r="I35" s="11" t="str">
        <f t="array" ref="I35">INDEX('Dev 조치사항'!$I$6:$I$1004, MATCH(1, ('Dev 조치사항'!$D$6:$D$1004=D35)*('Dev 조치사항'!$K$6:$K$1004=_xlfn.MAXIFS('Dev 조치사항'!$K$6:$K$1004, 'Dev 조치사항'!$D$6:$D$1004, D35)), 0))</f>
        <v>정상</v>
      </c>
      <c r="J35" s="16" t="str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>-</v>
      </c>
      <c r="K35" s="31">
        <f>_xlfn.MAXIFS('Dev 조치사항'!$K$6:$K$1004, 'Dev 조치사항'!$D$6:$D$1004, D35)</f>
        <v>46315</v>
      </c>
    </row>
    <row r="36" spans="1:11" ht="27" customHeight="1" x14ac:dyDescent="0.3">
      <c r="A36" s="35"/>
      <c r="B36" s="34" t="s">
        <v>65</v>
      </c>
      <c r="C36" s="2" t="s">
        <v>66</v>
      </c>
      <c r="D36" s="2" t="s">
        <v>67</v>
      </c>
      <c r="E36" s="3" t="s">
        <v>214</v>
      </c>
      <c r="F36" s="4" t="s">
        <v>215</v>
      </c>
      <c r="G36" s="3" t="s">
        <v>216</v>
      </c>
      <c r="H36" s="10" t="str">
        <f t="array" ref="H36">INDEX('Dev 조치사항'!$H$6:$H$1004, MATCH(1, ('Dev 조치사항'!$D$6:$D$1004=D36)*('Dev 조치사항'!$K$6:$K$1004=_xlfn.MAXIFS('Dev 조치사항'!$K$6:$K$1004, 'Dev 조치사항'!$D$6:$D$1004, D36)), 0))</f>
        <v>최신영</v>
      </c>
      <c r="I36" s="11" t="str">
        <f t="array" ref="I36">INDEX('Dev 조치사항'!$I$6:$I$1004, MATCH(1, ('Dev 조치사항'!$D$6:$D$1004=D36)*('Dev 조치사항'!$K$6:$K$1004=_xlfn.MAXIFS('Dev 조치사항'!$K$6:$K$1004, 'Dev 조치사항'!$D$6:$D$1004, D36)), 0))</f>
        <v>정상</v>
      </c>
      <c r="J36" s="16" t="str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>-</v>
      </c>
      <c r="K36" s="31">
        <f>_xlfn.MAXIFS('Dev 조치사항'!$K$6:$K$1004, 'Dev 조치사항'!$D$6:$D$1004, D36)</f>
        <v>46315</v>
      </c>
    </row>
    <row r="37" spans="1:11" ht="27" customHeight="1" x14ac:dyDescent="0.3">
      <c r="A37" s="35"/>
      <c r="B37" s="35"/>
      <c r="C37" s="34" t="s">
        <v>68</v>
      </c>
      <c r="D37" s="2" t="s">
        <v>69</v>
      </c>
      <c r="E37" s="3" t="s">
        <v>217</v>
      </c>
      <c r="F37" s="4" t="s">
        <v>218</v>
      </c>
      <c r="G37" s="3" t="s">
        <v>219</v>
      </c>
      <c r="H37" s="10" t="str">
        <f t="array" ref="H37">INDEX('Dev 조치사항'!$H$6:$H$1004, MATCH(1, ('Dev 조치사항'!$D$6:$D$1004=D37)*('Dev 조치사항'!$K$6:$K$1004=_xlfn.MAXIFS('Dev 조치사항'!$K$6:$K$1004, 'Dev 조치사항'!$D$6:$D$1004, D37)), 0))</f>
        <v>최신영</v>
      </c>
      <c r="I37" s="11" t="str">
        <f t="array" ref="I37">INDEX('Dev 조치사항'!$I$6:$I$1004, MATCH(1, ('Dev 조치사항'!$D$6:$D$1004=D37)*('Dev 조치사항'!$K$6:$K$1004=_xlfn.MAXIFS('Dev 조치사항'!$K$6:$K$1004, 'Dev 조치사항'!$D$6:$D$1004, D37)), 0))</f>
        <v>정상</v>
      </c>
      <c r="J37" s="16" t="str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>-</v>
      </c>
      <c r="K37" s="31">
        <f>_xlfn.MAXIFS('Dev 조치사항'!$K$6:$K$1004, 'Dev 조치사항'!$D$6:$D$1004, D37)</f>
        <v>46315</v>
      </c>
    </row>
    <row r="38" spans="1:11" ht="27" customHeight="1" x14ac:dyDescent="0.3">
      <c r="A38" s="35"/>
      <c r="B38" s="35"/>
      <c r="C38" s="36"/>
      <c r="D38" s="2" t="s">
        <v>70</v>
      </c>
      <c r="E38" s="3" t="s">
        <v>220</v>
      </c>
      <c r="F38" s="4" t="s">
        <v>221</v>
      </c>
      <c r="G38" s="3" t="s">
        <v>222</v>
      </c>
      <c r="H38" s="10" t="str">
        <f t="array" ref="H38">INDEX('Dev 조치사항'!$H$6:$H$1004, MATCH(1, ('Dev 조치사항'!$D$6:$D$1004=D38)*('Dev 조치사항'!$K$6:$K$1004=_xlfn.MAXIFS('Dev 조치사항'!$K$6:$K$1004, 'Dev 조치사항'!$D$6:$D$1004, D38)), 0))</f>
        <v>최신영</v>
      </c>
      <c r="I38" s="11" t="str">
        <f t="array" ref="I38">INDEX('Dev 조치사항'!$I$6:$I$1004, MATCH(1, ('Dev 조치사항'!$D$6:$D$1004=D38)*('Dev 조치사항'!$K$6:$K$1004=_xlfn.MAXIFS('Dev 조치사항'!$K$6:$K$1004, 'Dev 조치사항'!$D$6:$D$1004, D38)), 0))</f>
        <v>정상</v>
      </c>
      <c r="J38" s="16" t="str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>-</v>
      </c>
      <c r="K38" s="31">
        <f>_xlfn.MAXIFS('Dev 조치사항'!$K$6:$K$1004, 'Dev 조치사항'!$D$6:$D$1004, D38)</f>
        <v>46315</v>
      </c>
    </row>
    <row r="39" spans="1:11" ht="27" customHeight="1" x14ac:dyDescent="0.3">
      <c r="A39" s="35"/>
      <c r="B39" s="35"/>
      <c r="C39" s="2" t="s">
        <v>71</v>
      </c>
      <c r="D39" s="2" t="s">
        <v>72</v>
      </c>
      <c r="E39" s="3" t="s">
        <v>223</v>
      </c>
      <c r="F39" s="4" t="s">
        <v>224</v>
      </c>
      <c r="G39" s="3" t="s">
        <v>225</v>
      </c>
      <c r="H39" s="10" t="str">
        <f t="array" ref="H39">INDEX('Dev 조치사항'!$H$6:$H$1004, MATCH(1, ('Dev 조치사항'!$D$6:$D$1004=D39)*('Dev 조치사항'!$K$6:$K$1004=_xlfn.MAXIFS('Dev 조치사항'!$K$6:$K$1004, 'Dev 조치사항'!$D$6:$D$1004, D39)), 0))</f>
        <v>최신영</v>
      </c>
      <c r="I39" s="11" t="str">
        <f t="array" ref="I39">INDEX('Dev 조치사항'!$I$6:$I$1004, MATCH(1, ('Dev 조치사항'!$D$6:$D$1004=D39)*('Dev 조치사항'!$K$6:$K$1004=_xlfn.MAXIFS('Dev 조치사항'!$K$6:$K$1004, 'Dev 조치사항'!$D$6:$D$1004, D39)), 0))</f>
        <v>정상</v>
      </c>
      <c r="J39" s="16" t="str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>-</v>
      </c>
      <c r="K39" s="31">
        <f>_xlfn.MAXIFS('Dev 조치사항'!$K$6:$K$1004, 'Dev 조치사항'!$D$6:$D$1004, D39)</f>
        <v>46315</v>
      </c>
    </row>
    <row r="40" spans="1:11" ht="27" customHeight="1" x14ac:dyDescent="0.3">
      <c r="A40" s="35"/>
      <c r="B40" s="35"/>
      <c r="C40" s="2" t="s">
        <v>73</v>
      </c>
      <c r="D40" s="2" t="s">
        <v>74</v>
      </c>
      <c r="E40" s="3" t="s">
        <v>226</v>
      </c>
      <c r="F40" s="4" t="s">
        <v>227</v>
      </c>
      <c r="G40" s="3" t="s">
        <v>228</v>
      </c>
      <c r="H40" s="10" t="str">
        <f t="array" ref="H40">INDEX('Dev 조치사항'!$H$6:$H$1004, MATCH(1, ('Dev 조치사항'!$D$6:$D$1004=D40)*('Dev 조치사항'!$K$6:$K$1004=_xlfn.MAXIFS('Dev 조치사항'!$K$6:$K$1004, 'Dev 조치사항'!$D$6:$D$1004, D40)), 0))</f>
        <v>최신영</v>
      </c>
      <c r="I40" s="11" t="str">
        <f t="array" ref="I40">INDEX('Dev 조치사항'!$I$6:$I$1004, MATCH(1, ('Dev 조치사항'!$D$6:$D$1004=D40)*('Dev 조치사항'!$K$6:$K$1004=_xlfn.MAXIFS('Dev 조치사항'!$K$6:$K$1004, 'Dev 조치사항'!$D$6:$D$1004, D40)), 0))</f>
        <v>정상</v>
      </c>
      <c r="J40" s="16" t="str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>[개선] 체크 없이 [삭제] → '선택하세요' 안내 없이 바로 '삭제 하시겠습니까?' 확인창이 뜸 (Cancel 로 닫음, 지워진 것 없음).
100305AG17 체크 삭제 → 2 → 1행, 100302AG13 은 남음 (정상).</v>
      </c>
      <c r="K40" s="31">
        <f>_xlfn.MAXIFS('Dev 조치사항'!$K$6:$K$1004, 'Dev 조치사항'!$D$6:$D$1004, D40)</f>
        <v>46315</v>
      </c>
    </row>
    <row r="41" spans="1:11" x14ac:dyDescent="0.3">
      <c r="A41" s="35"/>
      <c r="B41" s="36"/>
      <c r="C41" s="2" t="s">
        <v>77</v>
      </c>
      <c r="D41" s="2" t="s">
        <v>78</v>
      </c>
      <c r="E41" s="3" t="s">
        <v>229</v>
      </c>
      <c r="F41" s="4" t="s">
        <v>230</v>
      </c>
      <c r="G41" s="3" t="s">
        <v>231</v>
      </c>
      <c r="H41" s="10" t="str">
        <f t="array" ref="H41">INDEX('Dev 조치사항'!$H$6:$H$1004, MATCH(1, ('Dev 조치사항'!$D$6:$D$1004=D41)*('Dev 조치사항'!$K$6:$K$1004=_xlfn.MAXIFS('Dev 조치사항'!$K$6:$K$1004, 'Dev 조치사항'!$D$6:$D$1004, D41)), 0))</f>
        <v>최신영</v>
      </c>
      <c r="I41" s="11" t="str">
        <f t="array" ref="I41">INDEX('Dev 조치사항'!$I$6:$I$1004, MATCH(1, ('Dev 조치사항'!$D$6:$D$1004=D41)*('Dev 조치사항'!$K$6:$K$1004=_xlfn.MAXIFS('Dev 조치사항'!$K$6:$K$1004, 'Dev 조치사항'!$D$6:$D$1004, D41)), 0))</f>
        <v>정상</v>
      </c>
      <c r="J41" s="16" t="str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>-</v>
      </c>
      <c r="K41" s="31">
        <f>_xlfn.MAXIFS('Dev 조치사항'!$K$6:$K$1004, 'Dev 조치사항'!$D$6:$D$1004, D41)</f>
        <v>46315</v>
      </c>
    </row>
    <row r="42" spans="1:11" ht="27" customHeight="1" x14ac:dyDescent="0.3">
      <c r="A42" s="35"/>
      <c r="B42" s="2" t="s">
        <v>79</v>
      </c>
      <c r="C42" s="2" t="s">
        <v>80</v>
      </c>
      <c r="D42" s="2" t="s">
        <v>81</v>
      </c>
      <c r="E42" s="3" t="s">
        <v>232</v>
      </c>
      <c r="F42" s="4" t="s">
        <v>233</v>
      </c>
      <c r="G42" s="3" t="s">
        <v>234</v>
      </c>
      <c r="H42" s="10" t="str">
        <f t="array" ref="H42">INDEX('Dev 조치사항'!$H$6:$H$1004, MATCH(1, ('Dev 조치사항'!$D$6:$D$1004=D42)*('Dev 조치사항'!$K$6:$K$1004=_xlfn.MAXIFS('Dev 조치사항'!$K$6:$K$1004, 'Dev 조치사항'!$D$6:$D$1004, D42)), 0))</f>
        <v>최신영</v>
      </c>
      <c r="I42" s="11" t="str">
        <f t="array" ref="I42">INDEX('Dev 조치사항'!$I$6:$I$1004, MATCH(1, ('Dev 조치사항'!$D$6:$D$1004=D42)*('Dev 조치사항'!$K$6:$K$1004=_xlfn.MAXIFS('Dev 조치사항'!$K$6:$K$1004, 'Dev 조치사항'!$D$6:$D$1004, D42)), 0))</f>
        <v>정상</v>
      </c>
      <c r="J42" s="16" t="str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>-</v>
      </c>
      <c r="K42" s="31">
        <f>_xlfn.MAXIFS('Dev 조치사항'!$K$6:$K$1004, 'Dev 조치사항'!$D$6:$D$1004, D42)</f>
        <v>46315</v>
      </c>
    </row>
    <row r="43" spans="1:11" ht="27" customHeight="1" x14ac:dyDescent="0.3">
      <c r="A43" s="35"/>
      <c r="B43" s="34" t="s">
        <v>82</v>
      </c>
      <c r="C43" s="2" t="s">
        <v>68</v>
      </c>
      <c r="D43" s="2" t="s">
        <v>83</v>
      </c>
      <c r="E43" s="3" t="s">
        <v>235</v>
      </c>
      <c r="F43" s="4" t="s">
        <v>236</v>
      </c>
      <c r="G43" s="3" t="s">
        <v>237</v>
      </c>
      <c r="H43" s="10" t="str">
        <f t="array" ref="H43">INDEX('Dev 조치사항'!$H$6:$H$1004, MATCH(1, ('Dev 조치사항'!$D$6:$D$1004=D43)*('Dev 조치사항'!$K$6:$K$1004=_xlfn.MAXIFS('Dev 조치사항'!$K$6:$K$1004, 'Dev 조치사항'!$D$6:$D$1004, D43)), 0))</f>
        <v>최신영</v>
      </c>
      <c r="I43" s="11" t="str">
        <f t="array" ref="I43">INDEX('Dev 조치사항'!$I$6:$I$1004, MATCH(1, ('Dev 조치사항'!$D$6:$D$1004=D43)*('Dev 조치사항'!$K$6:$K$1004=_xlfn.MAXIFS('Dev 조치사항'!$K$6:$K$1004, 'Dev 조치사항'!$D$6:$D$1004, D43)), 0))</f>
        <v>정상</v>
      </c>
      <c r="J43" s="16" t="str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>-</v>
      </c>
      <c r="K43" s="31">
        <f>_xlfn.MAXIFS('Dev 조치사항'!$K$6:$K$1004, 'Dev 조치사항'!$D$6:$D$1004, D43)</f>
        <v>46315</v>
      </c>
    </row>
    <row r="44" spans="1:11" ht="27" customHeight="1" x14ac:dyDescent="0.3">
      <c r="A44" s="35"/>
      <c r="B44" s="35"/>
      <c r="C44" s="2" t="s">
        <v>84</v>
      </c>
      <c r="D44" s="2" t="s">
        <v>85</v>
      </c>
      <c r="E44" s="3" t="s">
        <v>238</v>
      </c>
      <c r="F44" s="4" t="s">
        <v>239</v>
      </c>
      <c r="G44" s="3" t="s">
        <v>240</v>
      </c>
      <c r="H44" s="10" t="str">
        <f t="array" ref="H44">INDEX('Dev 조치사항'!$H$6:$H$1004, MATCH(1, ('Dev 조치사항'!$D$6:$D$1004=D44)*('Dev 조치사항'!$K$6:$K$1004=_xlfn.MAXIFS('Dev 조치사항'!$K$6:$K$1004, 'Dev 조치사항'!$D$6:$D$1004, D44)), 0))</f>
        <v>최신영</v>
      </c>
      <c r="I44" s="11" t="str">
        <f t="array" ref="I44">INDEX('Dev 조치사항'!$I$6:$I$1004, MATCH(1, ('Dev 조치사항'!$D$6:$D$1004=D44)*('Dev 조치사항'!$K$6:$K$1004=_xlfn.MAXIFS('Dev 조치사항'!$K$6:$K$1004, 'Dev 조치사항'!$D$6:$D$1004, D44)), 0))</f>
        <v>정상</v>
      </c>
      <c r="J44" s="16" t="str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>-</v>
      </c>
      <c r="K44" s="31">
        <f>_xlfn.MAXIFS('Dev 조치사항'!$K$6:$K$1004, 'Dev 조치사항'!$D$6:$D$1004, D44)</f>
        <v>46315</v>
      </c>
    </row>
    <row r="45" spans="1:11" ht="27" customHeight="1" x14ac:dyDescent="0.3">
      <c r="A45" s="35"/>
      <c r="B45" s="35"/>
      <c r="C45" s="2" t="s">
        <v>71</v>
      </c>
      <c r="D45" s="2" t="s">
        <v>86</v>
      </c>
      <c r="E45" s="3" t="s">
        <v>241</v>
      </c>
      <c r="F45" s="4" t="s">
        <v>242</v>
      </c>
      <c r="G45" s="3" t="s">
        <v>243</v>
      </c>
      <c r="H45" s="10" t="str">
        <f t="array" ref="H45">INDEX('Dev 조치사항'!$H$6:$H$1004, MATCH(1, ('Dev 조치사항'!$D$6:$D$1004=D45)*('Dev 조치사항'!$K$6:$K$1004=_xlfn.MAXIFS('Dev 조치사항'!$K$6:$K$1004, 'Dev 조치사항'!$D$6:$D$1004, D45)), 0))</f>
        <v>최신영</v>
      </c>
      <c r="I45" s="11" t="str">
        <f t="array" ref="I45">INDEX('Dev 조치사항'!$I$6:$I$1004, MATCH(1, ('Dev 조치사항'!$D$6:$D$1004=D45)*('Dev 조치사항'!$K$6:$K$1004=_xlfn.MAXIFS('Dev 조치사항'!$K$6:$K$1004, 'Dev 조치사항'!$D$6:$D$1004, D45)), 0))</f>
        <v>정상</v>
      </c>
      <c r="J45" s="16" t="str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>-</v>
      </c>
      <c r="K45" s="31">
        <f>_xlfn.MAXIFS('Dev 조치사항'!$K$6:$K$1004, 'Dev 조치사항'!$D$6:$D$1004, D45)</f>
        <v>46315</v>
      </c>
    </row>
    <row r="46" spans="1:11" ht="27" customHeight="1" x14ac:dyDescent="0.3">
      <c r="A46" s="35"/>
      <c r="B46" s="36"/>
      <c r="C46" s="2" t="s">
        <v>73</v>
      </c>
      <c r="D46" s="2" t="s">
        <v>87</v>
      </c>
      <c r="E46" s="3" t="s">
        <v>244</v>
      </c>
      <c r="F46" s="4" t="s">
        <v>227</v>
      </c>
      <c r="G46" s="3" t="s">
        <v>245</v>
      </c>
      <c r="H46" s="10" t="str">
        <f t="array" ref="H46">INDEX('Dev 조치사항'!$H$6:$H$1004, MATCH(1, ('Dev 조치사항'!$D$6:$D$1004=D46)*('Dev 조치사항'!$K$6:$K$1004=_xlfn.MAXIFS('Dev 조치사항'!$K$6:$K$1004, 'Dev 조치사항'!$D$6:$D$1004, D46)), 0))</f>
        <v>최신영</v>
      </c>
      <c r="I46" s="11" t="str">
        <f t="array" ref="I46">INDEX('Dev 조치사항'!$I$6:$I$1004, MATCH(1, ('Dev 조치사항'!$D$6:$D$1004=D46)*('Dev 조치사항'!$K$6:$K$1004=_xlfn.MAXIFS('Dev 조치사항'!$K$6:$K$1004, 'Dev 조치사항'!$D$6:$D$1004, D46)), 0))</f>
        <v>정상</v>
      </c>
      <c r="J46" s="16" t="str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>[개선] 체크 없이 [삭제] → '선택하세요' 안내 없이 바로 '삭제 하시겠습니까?' 확인창이 뜸 (Cancel 로 닫음, 지워진 것 없음).
테스트가 추가한 '[sychoi] 메인 베어링 표면온도' 체크 삭제 → 2 → 1행 (정상).</v>
      </c>
      <c r="K46" s="31">
        <f>_xlfn.MAXIFS('Dev 조치사항'!$K$6:$K$1004, 'Dev 조치사항'!$D$6:$D$1004, D46)</f>
        <v>46315</v>
      </c>
    </row>
    <row r="47" spans="1:11" ht="27" customHeight="1" x14ac:dyDescent="0.3">
      <c r="A47" s="36"/>
      <c r="B47" s="2" t="s">
        <v>90</v>
      </c>
      <c r="C47" s="2" t="s">
        <v>80</v>
      </c>
      <c r="D47" s="2" t="s">
        <v>91</v>
      </c>
      <c r="E47" s="3" t="s">
        <v>246</v>
      </c>
      <c r="F47" s="4" t="s">
        <v>247</v>
      </c>
      <c r="G47" s="3" t="s">
        <v>248</v>
      </c>
      <c r="H47" s="10" t="str">
        <f t="array" ref="H47">INDEX('Dev 조치사항'!$H$6:$H$1004, MATCH(1, ('Dev 조치사항'!$D$6:$D$1004=D47)*('Dev 조치사항'!$K$6:$K$1004=_xlfn.MAXIFS('Dev 조치사항'!$K$6:$K$1004, 'Dev 조치사항'!$D$6:$D$1004, D47)), 0))</f>
        <v>최신영</v>
      </c>
      <c r="I47" s="11" t="str">
        <f t="array" ref="I47">INDEX('Dev 조치사항'!$I$6:$I$1004, MATCH(1, ('Dev 조치사항'!$D$6:$D$1004=D47)*('Dev 조치사항'!$K$6:$K$1004=_xlfn.MAXIFS('Dev 조치사항'!$K$6:$K$1004, 'Dev 조치사항'!$D$6:$D$1004, D47)), 0))</f>
        <v>정상</v>
      </c>
      <c r="J47" s="16" t="str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>-</v>
      </c>
      <c r="K47" s="31">
        <f>_xlfn.MAXIFS('Dev 조치사항'!$K$6:$K$1004, 'Dev 조치사항'!$D$6:$D$1004, D47)</f>
        <v>46315</v>
      </c>
    </row>
    <row r="50" spans="1:11" ht="54" customHeight="1" x14ac:dyDescent="0.3">
      <c r="A50" t="s">
        <v>92</v>
      </c>
    </row>
    <row r="51" spans="1:11" ht="40.5" customHeight="1" x14ac:dyDescent="0.3">
      <c r="A51" s="20" t="s">
        <v>1</v>
      </c>
      <c r="B51" s="21" t="s">
        <v>2</v>
      </c>
      <c r="C51" s="20" t="s">
        <v>3</v>
      </c>
      <c r="D51" s="20" t="s">
        <v>4</v>
      </c>
      <c r="E51" s="20" t="s">
        <v>5</v>
      </c>
      <c r="F51" s="20" t="s">
        <v>6</v>
      </c>
      <c r="G51" s="20" t="s">
        <v>7</v>
      </c>
      <c r="H51" s="22" t="s">
        <v>8</v>
      </c>
      <c r="I51" s="22" t="s">
        <v>9</v>
      </c>
      <c r="J51" s="22" t="s">
        <v>10</v>
      </c>
      <c r="K51" s="12" t="s">
        <v>11</v>
      </c>
    </row>
    <row r="52" spans="1:11" ht="27" customHeight="1" x14ac:dyDescent="0.3">
      <c r="A52" s="34" t="s">
        <v>17</v>
      </c>
      <c r="B52" s="34" t="s">
        <v>93</v>
      </c>
      <c r="C52" s="2" t="s">
        <v>58</v>
      </c>
      <c r="D52" s="2" t="s">
        <v>94</v>
      </c>
      <c r="E52" s="3" t="s">
        <v>249</v>
      </c>
      <c r="F52" s="4" t="s">
        <v>250</v>
      </c>
      <c r="G52" s="3" t="s">
        <v>251</v>
      </c>
      <c r="H52" s="10" t="str">
        <f t="array" ref="H52">INDEX('Dev 조치사항'!$H$6:$H$1004, MATCH(1, ('Dev 조치사항'!$D$6:$D$1004=D52)*('Dev 조치사항'!$K$6:$K$1004=_xlfn.MAXIFS('Dev 조치사항'!$K$6:$K$1004, 'Dev 조치사항'!$D$6:$D$1004, D52)), 0))</f>
        <v>최신영</v>
      </c>
      <c r="I52" s="11" t="str">
        <f t="array" ref="I52">INDEX('Dev 조치사항'!$I$6:$I$1004, MATCH(1, ('Dev 조치사항'!$D$6:$D$1004=D52)*('Dev 조치사항'!$K$6:$K$1004=_xlfn.MAXIFS('Dev 조치사항'!$K$6:$K$1004, 'Dev 조치사항'!$D$6:$D$1004, D52)), 0))</f>
        <v>오류</v>
      </c>
      <c r="J52" s="16" t="str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>UBM·재조정 Y (8076): 11-02 작업을 10-20에 완료.
기대(규칙 문서 4장, 사용량 40 · 하루 8 → 누적 40 초과일 = 6번째 근무일, 완료일 10-20 기준): 10-28, 11-05, 11-13, 11-23, 12-01.
실제: 11-02(작업발행 1건 추가), 11-10, 11-18, 11-26, 12-04 그대로.</v>
      </c>
      <c r="K52" s="31">
        <f>_xlfn.MAXIFS('Dev 조치사항'!$K$6:$K$1004, 'Dev 조치사항'!$D$6:$D$1004, D52)</f>
        <v>46315</v>
      </c>
    </row>
    <row r="53" spans="1:11" ht="27" customHeight="1" x14ac:dyDescent="0.3">
      <c r="A53" s="35"/>
      <c r="B53" s="35"/>
      <c r="C53" s="34" t="s">
        <v>58</v>
      </c>
      <c r="D53" s="2" t="s">
        <v>97</v>
      </c>
      <c r="E53" s="3" t="s">
        <v>252</v>
      </c>
      <c r="F53" s="4" t="s">
        <v>253</v>
      </c>
      <c r="G53" s="3" t="s">
        <v>254</v>
      </c>
      <c r="H53" s="10" t="str">
        <f t="array" ref="H53">INDEX('Dev 조치사항'!$H$6:$H$1004, MATCH(1, ('Dev 조치사항'!$D$6:$D$1004=D53)*('Dev 조치사항'!$K$6:$K$1004=_xlfn.MAXIFS('Dev 조치사항'!$K$6:$K$1004, 'Dev 조치사항'!$D$6:$D$1004, D53)), 0))</f>
        <v>최신영</v>
      </c>
      <c r="I53" s="11" t="str">
        <f t="array" ref="I53">INDEX('Dev 조치사항'!$I$6:$I$1004, MATCH(1, ('Dev 조치사항'!$D$6:$D$1004=D53)*('Dev 조치사항'!$K$6:$K$1004=_xlfn.MAXIFS('Dev 조치사항'!$K$6:$K$1004, 'Dev 조치사항'!$D$6:$D$1004, D53)), 0))</f>
        <v>정상</v>
      </c>
      <c r="J53" s="16" t="str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>-</v>
      </c>
      <c r="K53" s="31">
        <f>_xlfn.MAXIFS('Dev 조치사항'!$K$6:$K$1004, 'Dev 조치사항'!$D$6:$D$1004, D53)</f>
        <v>46315</v>
      </c>
    </row>
    <row r="54" spans="1:11" ht="27" customHeight="1" x14ac:dyDescent="0.3">
      <c r="A54" s="35"/>
      <c r="B54" s="35"/>
      <c r="C54" s="35"/>
      <c r="D54" s="2" t="s">
        <v>98</v>
      </c>
      <c r="E54" s="3" t="s">
        <v>255</v>
      </c>
      <c r="F54" s="4" t="s">
        <v>256</v>
      </c>
      <c r="G54" s="3" t="s">
        <v>257</v>
      </c>
      <c r="H54" s="10" t="str">
        <f t="array" ref="H54">INDEX('Dev 조치사항'!$H$6:$H$1004, MATCH(1, ('Dev 조치사항'!$D$6:$D$1004=D54)*('Dev 조치사항'!$K$6:$K$1004=_xlfn.MAXIFS('Dev 조치사항'!$K$6:$K$1004, 'Dev 조치사항'!$D$6:$D$1004, D54)), 0))</f>
        <v>최신영</v>
      </c>
      <c r="I54" s="11" t="str">
        <f t="array" ref="I54">INDEX('Dev 조치사항'!$I$6:$I$1004, MATCH(1, ('Dev 조치사항'!$D$6:$D$1004=D54)*('Dev 조치사항'!$K$6:$K$1004=_xlfn.MAXIFS('Dev 조치사항'!$K$6:$K$1004, 'Dev 조치사항'!$D$6:$D$1004, D54)), 0))</f>
        <v>오류</v>
      </c>
      <c r="J54" s="16" t="str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>RBM·재조정 Y (8078): 11-02 작업을 10-20에 완료.
기대(규칙 문서 4장, 사용량 40시간 · 하루 480분 → 누적 2400분 초과일 = 6번째 근무일, 완료일 10-20 기준): 10-28, 11-05, 11-13, 11-23 (가동달력 일별 데이터는 11-24까지).
실제: 11-02(작업발행 1건 추가), 11-10, 11-18 그대로.</v>
      </c>
      <c r="K54" s="31">
        <f>_xlfn.MAXIFS('Dev 조치사항'!$K$6:$K$1004, 'Dev 조치사항'!$D$6:$D$1004, D54)</f>
        <v>46315</v>
      </c>
    </row>
    <row r="55" spans="1:11" ht="27" customHeight="1" x14ac:dyDescent="0.3">
      <c r="A55" s="35"/>
      <c r="B55" s="35"/>
      <c r="C55" s="35"/>
      <c r="D55" s="2" t="s">
        <v>101</v>
      </c>
      <c r="E55" s="3" t="s">
        <v>258</v>
      </c>
      <c r="F55" s="4" t="s">
        <v>259</v>
      </c>
      <c r="G55" s="3" t="s">
        <v>254</v>
      </c>
      <c r="H55" s="10" t="str">
        <f t="array" ref="H55">INDEX('Dev 조치사항'!$H$6:$H$1004, MATCH(1, ('Dev 조치사항'!$D$6:$D$1004=D55)*('Dev 조치사항'!$K$6:$K$1004=_xlfn.MAXIFS('Dev 조치사항'!$K$6:$K$1004, 'Dev 조치사항'!$D$6:$D$1004, D55)), 0))</f>
        <v>최신영</v>
      </c>
      <c r="I55" s="11" t="str">
        <f t="array" ref="I55">INDEX('Dev 조치사항'!$I$6:$I$1004, MATCH(1, ('Dev 조치사항'!$D$6:$D$1004=D55)*('Dev 조치사항'!$K$6:$K$1004=_xlfn.MAXIFS('Dev 조치사항'!$K$6:$K$1004, 'Dev 조치사항'!$D$6:$D$1004, D55)), 0))</f>
        <v>정상</v>
      </c>
      <c r="J55" s="16" t="str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>-</v>
      </c>
      <c r="K55" s="31">
        <f>_xlfn.MAXIFS('Dev 조치사항'!$K$6:$K$1004, 'Dev 조치사항'!$D$6:$D$1004, D55)</f>
        <v>46315</v>
      </c>
    </row>
    <row r="56" spans="1:11" ht="17.45" customHeight="1" x14ac:dyDescent="0.3">
      <c r="A56" s="35"/>
      <c r="B56" s="36"/>
      <c r="C56" s="36"/>
      <c r="D56" s="2" t="s">
        <v>102</v>
      </c>
      <c r="E56" s="3" t="s">
        <v>260</v>
      </c>
      <c r="F56" s="4" t="s">
        <v>261</v>
      </c>
      <c r="G56" s="3" t="s">
        <v>262</v>
      </c>
      <c r="H56" s="10" t="str">
        <f t="array" ref="H56">INDEX('Dev 조치사항'!$H$6:$H$1004, MATCH(1, ('Dev 조치사항'!$D$6:$D$1004=D56)*('Dev 조치사항'!$K$6:$K$1004=_xlfn.MAXIFS('Dev 조치사항'!$K$6:$K$1004, 'Dev 조치사항'!$D$6:$D$1004, D56)), 0))</f>
        <v>최신영</v>
      </c>
      <c r="I56" s="11" t="str">
        <f t="array" ref="I56">INDEX('Dev 조치사항'!$I$6:$I$1004, MATCH(1, ('Dev 조치사항'!$D$6:$D$1004=D56)*('Dev 조치사항'!$K$6:$K$1004=_xlfn.MAXIFS('Dev 조치사항'!$K$6:$K$1004, 'Dev 조치사항'!$D$6:$D$1004, D56)), 0))</f>
        <v>정상</v>
      </c>
      <c r="J56" s="16" t="str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>-</v>
      </c>
      <c r="K56" s="31">
        <f>_xlfn.MAXIFS('Dev 조치사항'!$K$6:$K$1004, 'Dev 조치사항'!$D$6:$D$1004, D56)</f>
        <v>46315</v>
      </c>
    </row>
    <row r="57" spans="1:11" ht="27" customHeight="1" x14ac:dyDescent="0.3">
      <c r="A57" s="35"/>
      <c r="B57" s="34" t="s">
        <v>65</v>
      </c>
      <c r="C57" s="2" t="s">
        <v>58</v>
      </c>
      <c r="D57" s="2" t="s">
        <v>103</v>
      </c>
      <c r="E57" s="3" t="s">
        <v>263</v>
      </c>
      <c r="F57" s="4" t="s">
        <v>264</v>
      </c>
      <c r="G57" s="3" t="s">
        <v>265</v>
      </c>
      <c r="H57" s="10" t="str">
        <f t="array" ref="H57">INDEX('Dev 조치사항'!$H$6:$H$1004, MATCH(1, ('Dev 조치사항'!$D$6:$D$1004=D57)*('Dev 조치사항'!$K$6:$K$1004=_xlfn.MAXIFS('Dev 조치사항'!$K$6:$K$1004, 'Dev 조치사항'!$D$6:$D$1004, D57)), 0))</f>
        <v>최신영</v>
      </c>
      <c r="I57" s="11" t="str">
        <f t="array" ref="I57">INDEX('Dev 조치사항'!$I$6:$I$1004, MATCH(1, ('Dev 조치사항'!$D$6:$D$1004=D57)*('Dev 조치사항'!$K$6:$K$1004=_xlfn.MAXIFS('Dev 조치사항'!$K$6:$K$1004, 'Dev 조치사항'!$D$6:$D$1004, D57)), 0))</f>
        <v>정상</v>
      </c>
      <c r="J57" s="16" t="str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>-</v>
      </c>
      <c r="K57" s="31">
        <f>_xlfn.MAXIFS('Dev 조치사항'!$K$6:$K$1004, 'Dev 조치사항'!$D$6:$D$1004, D57)</f>
        <v>46315</v>
      </c>
    </row>
    <row r="58" spans="1:11" ht="27" customHeight="1" x14ac:dyDescent="0.3">
      <c r="A58" s="35"/>
      <c r="B58" s="35"/>
      <c r="C58" s="34" t="s">
        <v>58</v>
      </c>
      <c r="D58" s="2" t="s">
        <v>104</v>
      </c>
      <c r="E58" s="3" t="s">
        <v>266</v>
      </c>
      <c r="F58" s="4" t="s">
        <v>267</v>
      </c>
      <c r="G58" s="3" t="s">
        <v>268</v>
      </c>
      <c r="H58" s="10" t="str">
        <f t="array" ref="H58">INDEX('Dev 조치사항'!$H$6:$H$1004, MATCH(1, ('Dev 조치사항'!$D$6:$D$1004=D58)*('Dev 조치사항'!$K$6:$K$1004=_xlfn.MAXIFS('Dev 조치사항'!$K$6:$K$1004, 'Dev 조치사항'!$D$6:$D$1004, D58)), 0))</f>
        <v>최신영</v>
      </c>
      <c r="I58" s="11" t="str">
        <f t="array" ref="I58">INDEX('Dev 조치사항'!$I$6:$I$1004, MATCH(1, ('Dev 조치사항'!$D$6:$D$1004=D58)*('Dev 조치사항'!$K$6:$K$1004=_xlfn.MAXIFS('Dev 조치사항'!$K$6:$K$1004, 'Dev 조치사항'!$D$6:$D$1004, D58)), 0))</f>
        <v>정상</v>
      </c>
      <c r="J58" s="16" t="str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>-</v>
      </c>
      <c r="K58" s="31">
        <f>_xlfn.MAXIFS('Dev 조치사항'!$K$6:$K$1004, 'Dev 조치사항'!$D$6:$D$1004, D58)</f>
        <v>46315</v>
      </c>
    </row>
    <row r="59" spans="1:11" ht="27" customHeight="1" x14ac:dyDescent="0.3">
      <c r="A59" s="35"/>
      <c r="B59" s="35"/>
      <c r="C59" s="35"/>
      <c r="D59" s="2" t="s">
        <v>105</v>
      </c>
      <c r="E59" s="3" t="s">
        <v>269</v>
      </c>
      <c r="F59" s="4" t="s">
        <v>270</v>
      </c>
      <c r="G59" s="3" t="s">
        <v>271</v>
      </c>
      <c r="H59" s="10" t="str">
        <f t="array" ref="H59">INDEX('Dev 조치사항'!$H$6:$H$1004, MATCH(1, ('Dev 조치사항'!$D$6:$D$1004=D59)*('Dev 조치사항'!$K$6:$K$1004=_xlfn.MAXIFS('Dev 조치사항'!$K$6:$K$1004, 'Dev 조치사항'!$D$6:$D$1004, D59)), 0))</f>
        <v>최신영</v>
      </c>
      <c r="I59" s="11" t="str">
        <f t="array" ref="I59">INDEX('Dev 조치사항'!$I$6:$I$1004, MATCH(1, ('Dev 조치사항'!$D$6:$D$1004=D59)*('Dev 조치사항'!$K$6:$K$1004=_xlfn.MAXIFS('Dev 조치사항'!$K$6:$K$1004, 'Dev 조치사항'!$D$6:$D$1004, D59)), 0))</f>
        <v>정상</v>
      </c>
      <c r="J59" s="16" t="str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>-</v>
      </c>
      <c r="K59" s="31">
        <f>_xlfn.MAXIFS('Dev 조치사항'!$K$6:$K$1004, 'Dev 조치사항'!$D$6:$D$1004, D59)</f>
        <v>46315</v>
      </c>
    </row>
    <row r="60" spans="1:11" ht="27" customHeight="1" x14ac:dyDescent="0.3">
      <c r="A60" s="35"/>
      <c r="B60" s="35"/>
      <c r="C60" s="35"/>
      <c r="D60" s="2" t="s">
        <v>106</v>
      </c>
      <c r="E60" s="3" t="s">
        <v>272</v>
      </c>
      <c r="F60" s="4" t="s">
        <v>273</v>
      </c>
      <c r="G60" s="3" t="s">
        <v>274</v>
      </c>
      <c r="H60" s="10" t="str">
        <f t="array" ref="H60">INDEX('Dev 조치사항'!$H$6:$H$1004, MATCH(1, ('Dev 조치사항'!$D$6:$D$1004=D60)*('Dev 조치사항'!$K$6:$K$1004=_xlfn.MAXIFS('Dev 조치사항'!$K$6:$K$1004, 'Dev 조치사항'!$D$6:$D$1004, D60)), 0))</f>
        <v>최신영</v>
      </c>
      <c r="I60" s="11" t="str">
        <f t="array" ref="I60">INDEX('Dev 조치사항'!$I$6:$I$1004, MATCH(1, ('Dev 조치사항'!$D$6:$D$1004=D60)*('Dev 조치사항'!$K$6:$K$1004=_xlfn.MAXIFS('Dev 조치사항'!$K$6:$K$1004, 'Dev 조치사항'!$D$6:$D$1004, D60)), 0))</f>
        <v>정상</v>
      </c>
      <c r="J60" s="16" t="str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>-</v>
      </c>
      <c r="K60" s="31">
        <f>_xlfn.MAXIFS('Dev 조치사항'!$K$6:$K$1004, 'Dev 조치사항'!$D$6:$D$1004, D60)</f>
        <v>46315</v>
      </c>
    </row>
    <row r="61" spans="1:11" ht="27" customHeight="1" x14ac:dyDescent="0.3">
      <c r="A61" s="35"/>
      <c r="B61" s="36"/>
      <c r="C61" s="36"/>
      <c r="D61" s="2" t="s">
        <v>107</v>
      </c>
      <c r="E61" s="3" t="s">
        <v>275</v>
      </c>
      <c r="F61" s="4" t="s">
        <v>276</v>
      </c>
      <c r="G61" s="3" t="s">
        <v>277</v>
      </c>
      <c r="H61" s="10" t="str">
        <f t="array" ref="H61">INDEX('Dev 조치사항'!$H$6:$H$1004, MATCH(1, ('Dev 조치사항'!$D$6:$D$1004=D61)*('Dev 조치사항'!$K$6:$K$1004=_xlfn.MAXIFS('Dev 조치사항'!$K$6:$K$1004, 'Dev 조치사항'!$D$6:$D$1004, D61)), 0))</f>
        <v>최신영</v>
      </c>
      <c r="I61" s="11" t="str">
        <f t="array" ref="I61">INDEX('Dev 조치사항'!$I$6:$I$1004, MATCH(1, ('Dev 조치사항'!$D$6:$D$1004=D61)*('Dev 조치사항'!$K$6:$K$1004=_xlfn.MAXIFS('Dev 조치사항'!$K$6:$K$1004, 'Dev 조치사항'!$D$6:$D$1004, D61)), 0))</f>
        <v>정상</v>
      </c>
      <c r="J61" s="16" t="str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>-</v>
      </c>
      <c r="K61" s="31">
        <f>_xlfn.MAXIFS('Dev 조치사항'!$K$6:$K$1004, 'Dev 조치사항'!$D$6:$D$1004, D61)</f>
        <v>46315</v>
      </c>
    </row>
    <row r="62" spans="1:11" ht="27" customHeight="1" x14ac:dyDescent="0.3">
      <c r="A62" s="35"/>
      <c r="B62" s="34" t="s">
        <v>0</v>
      </c>
      <c r="C62" s="2" t="s">
        <v>108</v>
      </c>
      <c r="D62" s="2" t="s">
        <v>109</v>
      </c>
      <c r="E62" s="3" t="s">
        <v>278</v>
      </c>
      <c r="F62" s="4" t="s">
        <v>279</v>
      </c>
      <c r="G62" s="3" t="s">
        <v>280</v>
      </c>
      <c r="H62" s="10" t="str">
        <f t="array" ref="H62">INDEX('Dev 조치사항'!$H$6:$H$1004, MATCH(1, ('Dev 조치사항'!$D$6:$D$1004=D62)*('Dev 조치사항'!$K$6:$K$1004=_xlfn.MAXIFS('Dev 조치사항'!$K$6:$K$1004, 'Dev 조치사항'!$D$6:$D$1004, D62)), 0))</f>
        <v>최신영</v>
      </c>
      <c r="I62" s="11" t="str">
        <f t="array" ref="I62">INDEX('Dev 조치사항'!$I$6:$I$1004, MATCH(1, ('Dev 조치사항'!$D$6:$D$1004=D62)*('Dev 조치사항'!$K$6:$K$1004=_xlfn.MAXIFS('Dev 조치사항'!$K$6:$K$1004, 'Dev 조치사항'!$D$6:$D$1004, D62)), 0))</f>
        <v>오류</v>
      </c>
      <c r="J62" s="16" t="str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>주기에 0, 1.5 → 안내 없이 저장됨 (1.5는 2로 저장, 8069). "-"·한글은 입력 안 됨.</v>
      </c>
      <c r="K62" s="31">
        <f>_xlfn.MAXIFS('Dev 조치사항'!$K$6:$K$1004, 'Dev 조치사항'!$D$6:$D$1004, D62)</f>
        <v>46315</v>
      </c>
    </row>
    <row r="63" spans="1:11" ht="27" customHeight="1" x14ac:dyDescent="0.3">
      <c r="A63" s="35"/>
      <c r="B63" s="35"/>
      <c r="C63" s="34" t="s">
        <v>108</v>
      </c>
      <c r="D63" s="2" t="s">
        <v>112</v>
      </c>
      <c r="E63" s="3" t="s">
        <v>281</v>
      </c>
      <c r="F63" s="4" t="s">
        <v>282</v>
      </c>
      <c r="G63" s="3" t="s">
        <v>283</v>
      </c>
      <c r="H63" s="10" t="str">
        <f t="array" ref="H63">INDEX('Dev 조치사항'!$H$6:$H$1004, MATCH(1, ('Dev 조치사항'!$D$6:$D$1004=D63)*('Dev 조치사항'!$K$6:$K$1004=_xlfn.MAXIFS('Dev 조치사항'!$K$6:$K$1004, 'Dev 조치사항'!$D$6:$D$1004, D63)), 0))</f>
        <v>최신영</v>
      </c>
      <c r="I63" s="11" t="str">
        <f t="array" ref="I63">INDEX('Dev 조치사항'!$I$6:$I$1004, MATCH(1, ('Dev 조치사항'!$D$6:$D$1004=D63)*('Dev 조치사항'!$K$6:$K$1004=_xlfn.MAXIFS('Dev 조치사항'!$K$6:$K$1004, 'Dev 조치사항'!$D$6:$D$1004, D63)), 0))</f>
        <v>정상</v>
      </c>
      <c r="J63" s="16" t="str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>[개선] 1주 주기 (8074)에 몇일전 일정생성 0, 30, 400 → 안내 없이 저장됨. "-"는 입력 안 됨.</v>
      </c>
      <c r="K63" s="31">
        <f>_xlfn.MAXIFS('Dev 조치사항'!$K$6:$K$1004, 'Dev 조치사항'!$D$6:$D$1004, D63)</f>
        <v>46315</v>
      </c>
    </row>
    <row r="64" spans="1:11" ht="27" customHeight="1" x14ac:dyDescent="0.3">
      <c r="A64" s="35"/>
      <c r="B64" s="36"/>
      <c r="C64" s="36"/>
      <c r="D64" s="2" t="s">
        <v>114</v>
      </c>
      <c r="E64" s="3" t="s">
        <v>284</v>
      </c>
      <c r="F64" s="4" t="s">
        <v>285</v>
      </c>
      <c r="G64" s="3" t="s">
        <v>286</v>
      </c>
      <c r="H64" s="10" t="str">
        <f t="array" ref="H64">INDEX('Dev 조치사항'!$H$6:$H$1004, MATCH(1, ('Dev 조치사항'!$D$6:$D$1004=D64)*('Dev 조치사항'!$K$6:$K$1004=_xlfn.MAXIFS('Dev 조치사항'!$K$6:$K$1004, 'Dev 조치사항'!$D$6:$D$1004, D64)), 0))</f>
        <v>최신영</v>
      </c>
      <c r="I64" s="11" t="str">
        <f t="array" ref="I64">INDEX('Dev 조치사항'!$I$6:$I$1004, MATCH(1, ('Dev 조치사항'!$D$6:$D$1004=D64)*('Dev 조치사항'!$K$6:$K$1004=_xlfn.MAXIFS('Dev 조치사항'!$K$6:$K$1004, 'Dev 조치사항'!$D$6:$D$1004, D64)), 0))</f>
        <v>정상</v>
      </c>
      <c r="J64" s="16" t="str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>[개선] 특수문자 작업명은 그대로 저장됨 (8070).
작업명 칸에 길이 제한(maxlength)이 없고, 100바이트(한글 1자=3바이트)를 넘으면 안내 없이 저장되지 않음.
확인 (8067): 99·100바이트 저장됨, 101·102바이트 저장 안 됨. 같은 이유로 처음 TC_021(103바이트 작업명)도 저장되지 않았음.</v>
      </c>
      <c r="K64" s="31">
        <f>_xlfn.MAXIFS('Dev 조치사항'!$K$6:$K$1004, 'Dev 조치사항'!$D$6:$D$1004, D64)</f>
        <v>46315</v>
      </c>
    </row>
    <row r="65" spans="1:11" ht="27" customHeight="1" x14ac:dyDescent="0.3">
      <c r="A65" s="35"/>
      <c r="B65" s="2" t="s">
        <v>65</v>
      </c>
      <c r="C65" s="2" t="s">
        <v>108</v>
      </c>
      <c r="D65" s="2" t="s">
        <v>116</v>
      </c>
      <c r="E65" s="3" t="s">
        <v>287</v>
      </c>
      <c r="F65" s="4" t="s">
        <v>288</v>
      </c>
      <c r="G65" s="3" t="s">
        <v>289</v>
      </c>
      <c r="H65" s="10" t="str">
        <f t="array" ref="H65">INDEX('Dev 조치사항'!$H$6:$H$1004, MATCH(1, ('Dev 조치사항'!$D$6:$D$1004=D65)*('Dev 조치사항'!$K$6:$K$1004=_xlfn.MAXIFS('Dev 조치사항'!$K$6:$K$1004, 'Dev 조치사항'!$D$6:$D$1004, D65)), 0))</f>
        <v>최신영</v>
      </c>
      <c r="I65" s="11" t="str">
        <f t="array" ref="I65">INDEX('Dev 조치사항'!$I$6:$I$1004, MATCH(1, ('Dev 조치사항'!$D$6:$D$1004=D65)*('Dev 조치사항'!$K$6:$K$1004=_xlfn.MAXIFS('Dev 조치사항'!$K$6:$K$1004, 'Dev 조치사항'!$D$6:$D$1004, D65)), 0))</f>
        <v>오류</v>
      </c>
      <c r="J65" s="16" t="str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>이미 있는 설비(100302AG13)를 다시 추가 → 안내 없이 2행이 됨 (8067). 넣은 중복 행은 삭제함.</v>
      </c>
      <c r="K65" s="31">
        <f>_xlfn.MAXIFS('Dev 조치사항'!$K$6:$K$1004, 'Dev 조치사항'!$D$6:$D$1004, D65)</f>
        <v>46315</v>
      </c>
    </row>
    <row r="66" spans="1:11" ht="27" customHeight="1" x14ac:dyDescent="0.3">
      <c r="A66" s="35"/>
      <c r="B66" s="34" t="s">
        <v>0</v>
      </c>
      <c r="C66" s="2" t="s">
        <v>58</v>
      </c>
      <c r="D66" s="2" t="s">
        <v>119</v>
      </c>
      <c r="E66" s="3" t="s">
        <v>290</v>
      </c>
      <c r="F66" s="4" t="s">
        <v>291</v>
      </c>
      <c r="G66" s="3" t="s">
        <v>292</v>
      </c>
      <c r="H66" s="10" t="str">
        <f t="array" ref="H66">INDEX('Dev 조치사항'!$H$6:$H$1004, MATCH(1, ('Dev 조치사항'!$D$6:$D$1004=D66)*('Dev 조치사항'!$K$6:$K$1004=_xlfn.MAXIFS('Dev 조치사항'!$K$6:$K$1004, 'Dev 조치사항'!$D$6:$D$1004, D66)), 0))</f>
        <v>최신영</v>
      </c>
      <c r="I66" s="11" t="str">
        <f t="array" ref="I66">INDEX('Dev 조치사항'!$I$6:$I$1004, MATCH(1, ('Dev 조치사항'!$D$6:$D$1004=D66)*('Dev 조치사항'!$K$6:$K$1004=_xlfn.MAXIFS('Dev 조치사항'!$K$6:$K$1004, 'Dev 조치사항'!$D$6:$D$1004, D66)), 0))</f>
        <v>정상</v>
      </c>
      <c r="J66" s="16" t="str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>-</v>
      </c>
      <c r="K66" s="31">
        <f>_xlfn.MAXIFS('Dev 조치사항'!$K$6:$K$1004, 'Dev 조치사항'!$D$6:$D$1004, D66)</f>
        <v>46315</v>
      </c>
    </row>
    <row r="67" spans="1:11" ht="27" customHeight="1" x14ac:dyDescent="0.3">
      <c r="A67" s="36"/>
      <c r="B67" s="36"/>
      <c r="C67" s="2" t="s">
        <v>50</v>
      </c>
      <c r="D67" s="2" t="s">
        <v>120</v>
      </c>
      <c r="E67" s="3" t="s">
        <v>293</v>
      </c>
      <c r="F67" s="4" t="s">
        <v>294</v>
      </c>
      <c r="G67" s="3" t="s">
        <v>295</v>
      </c>
      <c r="H67" s="10" t="str">
        <f t="array" ref="H67">INDEX('Dev 조치사항'!$H$6:$H$1004, MATCH(1, ('Dev 조치사항'!$D$6:$D$1004=D67)*('Dev 조치사항'!$K$6:$K$1004=_xlfn.MAXIFS('Dev 조치사항'!$K$6:$K$1004, 'Dev 조치사항'!$D$6:$D$1004, D67)), 0))</f>
        <v>최신영</v>
      </c>
      <c r="I67" s="11" t="str">
        <f t="array" ref="I67">INDEX('Dev 조치사항'!$I$6:$I$1004, MATCH(1, ('Dev 조치사항'!$D$6:$D$1004=D67)*('Dev 조치사항'!$K$6:$K$1004=_xlfn.MAXIFS('Dev 조치사항'!$K$6:$K$1004, 'Dev 조치사항'!$D$6:$D$1004, D67)), 0))</f>
        <v>정상</v>
      </c>
      <c r="J67" s="16" t="str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>[개선] 일정이 생성된 주기는 삭제할 수 없음 (사양, 사용자 확인).
8081 (계획 13건, 발행 전) 체크 → [삭제] → OK → "선택된 데이터가 없습니다." 안내로 삭제 안 됨.
개선: 안내 문구가 실제 이유(일정이 있어 삭제 불가)와 맞지 않음.</v>
      </c>
      <c r="K67" s="31">
        <f>_xlfn.MAXIFS('Dev 조치사항'!$K$6:$K$1004, 'Dev 조치사항'!$D$6:$D$1004, D67)</f>
        <v>46315</v>
      </c>
    </row>
    <row r="68" spans="1:11" ht="27" customHeight="1" x14ac:dyDescent="0.3"/>
    <row r="73" spans="1:11" ht="49.5" customHeight="1" x14ac:dyDescent="0.3"/>
    <row r="78" spans="1:11" ht="27" customHeight="1" x14ac:dyDescent="0.3"/>
    <row r="79" spans="1:11" ht="108" customHeight="1" x14ac:dyDescent="0.3"/>
    <row r="80" spans="1:11" ht="108" customHeight="1" x14ac:dyDescent="0.3"/>
    <row r="81" ht="108" customHeight="1" x14ac:dyDescent="0.3"/>
    <row r="82" ht="108" customHeight="1" x14ac:dyDescent="0.3"/>
  </sheetData>
  <mergeCells count="22">
    <mergeCell ref="A2:K2"/>
    <mergeCell ref="C15:C21"/>
    <mergeCell ref="C32:C33"/>
    <mergeCell ref="B52:B56"/>
    <mergeCell ref="B36:B41"/>
    <mergeCell ref="C34:C35"/>
    <mergeCell ref="C7:C12"/>
    <mergeCell ref="C28:C29"/>
    <mergeCell ref="C37:C38"/>
    <mergeCell ref="C53:C56"/>
    <mergeCell ref="A6:A47"/>
    <mergeCell ref="A52:A67"/>
    <mergeCell ref="B66:B67"/>
    <mergeCell ref="C58:C61"/>
    <mergeCell ref="C63:C64"/>
    <mergeCell ref="B14:B35"/>
    <mergeCell ref="C23:C25"/>
    <mergeCell ref="B6:B12"/>
    <mergeCell ref="C26:C27"/>
    <mergeCell ref="B43:B46"/>
    <mergeCell ref="B62:B64"/>
    <mergeCell ref="B57:B6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Q67"/>
  <sheetViews>
    <sheetView tabSelected="1"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H59" sqref="H59"/>
    </sheetView>
  </sheetViews>
  <sheetFormatPr defaultColWidth="18.25" defaultRowHeight="16.5" x14ac:dyDescent="0.3"/>
  <cols>
    <col min="1" max="1" width="15.375" style="19" bestFit="1" customWidth="1"/>
    <col min="2" max="2" width="15.375" style="19" customWidth="1"/>
    <col min="3" max="3" width="9.25" style="18" customWidth="1"/>
    <col min="4" max="4" width="14.5" style="18" bestFit="1" customWidth="1"/>
    <col min="5" max="5" width="60.25" style="7" bestFit="1" customWidth="1"/>
    <col min="6" max="6" width="52.625" style="7" customWidth="1"/>
    <col min="7" max="7" width="54.5" style="7" customWidth="1"/>
    <col min="8" max="8" width="7" style="8" bestFit="1" customWidth="1"/>
    <col min="9" max="9" width="10.75" style="14" bestFit="1" customWidth="1"/>
    <col min="10" max="10" width="32.625" style="7" customWidth="1"/>
    <col min="11" max="11" width="18.25" style="7" customWidth="1"/>
    <col min="12" max="12" width="15" style="7" customWidth="1"/>
    <col min="13" max="16" width="18.25" style="7" customWidth="1"/>
    <col min="17" max="17" width="18.25" customWidth="1"/>
    <col min="18" max="18" width="18.25" style="7" customWidth="1"/>
    <col min="19" max="16384" width="18.25" style="7"/>
  </cols>
  <sheetData>
    <row r="2" spans="1:16" ht="26.25" customHeight="1" x14ac:dyDescent="0.3">
      <c r="A2" s="37" t="str">
        <f>"Dream 4.1 "&amp;CLEAN(A6)&amp;" 단위테스트 실행 로그"</f>
        <v>Dream 4.1 정기점검주기_AD230 단위테스트 실행 로그</v>
      </c>
      <c r="B2" s="38"/>
      <c r="C2" s="39"/>
      <c r="D2" s="39"/>
      <c r="E2" s="40"/>
      <c r="F2" s="40"/>
      <c r="G2" s="40"/>
      <c r="H2" s="41"/>
      <c r="I2" s="42"/>
      <c r="J2" s="40"/>
      <c r="K2" s="40"/>
      <c r="L2" s="40"/>
      <c r="M2" s="40"/>
      <c r="N2" s="40"/>
      <c r="O2" s="40"/>
      <c r="P2" s="40"/>
    </row>
    <row r="4" spans="1:16" x14ac:dyDescent="0.3">
      <c r="A4" s="27" t="s">
        <v>0</v>
      </c>
      <c r="B4" s="28"/>
      <c r="C4" s="7"/>
      <c r="D4" s="8"/>
    </row>
    <row r="5" spans="1:16" ht="27" x14ac:dyDescent="0.3">
      <c r="A5" s="20" t="s">
        <v>1</v>
      </c>
      <c r="B5" s="21" t="s">
        <v>2</v>
      </c>
      <c r="C5" s="20" t="s">
        <v>3</v>
      </c>
      <c r="D5" s="20" t="s">
        <v>4</v>
      </c>
      <c r="E5" s="20" t="s">
        <v>5</v>
      </c>
      <c r="F5" s="20" t="s">
        <v>6</v>
      </c>
      <c r="G5" s="20" t="s">
        <v>7</v>
      </c>
      <c r="H5" s="22" t="s">
        <v>8</v>
      </c>
      <c r="I5" s="22" t="s">
        <v>9</v>
      </c>
      <c r="J5" s="22" t="s">
        <v>10</v>
      </c>
      <c r="K5" s="23" t="s">
        <v>11</v>
      </c>
      <c r="L5" s="23" t="s">
        <v>12</v>
      </c>
      <c r="M5" s="24" t="s">
        <v>13</v>
      </c>
      <c r="N5" s="24" t="s">
        <v>14</v>
      </c>
      <c r="O5" s="25" t="s">
        <v>15</v>
      </c>
      <c r="P5" s="26" t="s">
        <v>16</v>
      </c>
    </row>
    <row r="6" spans="1:16" ht="59.25" customHeight="1" x14ac:dyDescent="0.3">
      <c r="A6" s="34" t="s">
        <v>17</v>
      </c>
      <c r="B6" s="34" t="s">
        <v>18</v>
      </c>
      <c r="C6" s="2" t="s">
        <v>19</v>
      </c>
      <c r="D6" s="2" t="s">
        <v>20</v>
      </c>
      <c r="E6" s="13" t="str">
        <f>IFERROR(VLOOKUP($D6, '테스트 케이스'!$D$6:$G$1001, 2, FALSE), "")</f>
        <v>검색 필드의 기본값을 확인한다.</v>
      </c>
      <c r="F6" s="13" t="str">
        <f>IFERROR(VLOOKUP($D6, '테스트 케이스'!$D$6:$G$1001, 3, FALSE), "")</f>
        <v>메뉴 접속 후 목록(조건) 탭 클릭</v>
      </c>
      <c r="G6" s="13" t="str">
        <f>IFERROR(VLOOKUP($D6, '테스트 케이스'!$D$6:$G$1001, 4, FALSE), "")</f>
        <v>시행여부 = Y 로 입력되어 있고, 나머지 검색 필드(예방작업번호, 작업명, 설비, 설비위치, 공장명, 부서명, 작업그룹명, 담당자, 거래처)는 비어 있음</v>
      </c>
      <c r="H6" s="5" t="s">
        <v>21</v>
      </c>
      <c r="I6" s="15" t="s">
        <v>22</v>
      </c>
      <c r="J6" s="32"/>
      <c r="K6" s="33">
        <v>46315</v>
      </c>
      <c r="L6" s="5"/>
      <c r="M6" s="6"/>
      <c r="N6" s="6"/>
      <c r="O6" s="6"/>
      <c r="P6" s="6"/>
    </row>
    <row r="7" spans="1:16" ht="27" x14ac:dyDescent="0.3">
      <c r="A7" s="35"/>
      <c r="B7" s="35"/>
      <c r="C7" s="34" t="s">
        <v>19</v>
      </c>
      <c r="D7" s="2" t="s">
        <v>23</v>
      </c>
      <c r="E7" s="13" t="str">
        <f>IFERROR(VLOOKUP($D7, '테스트 케이스'!$D$6:$G$1001, 2, FALSE), "")</f>
        <v>설비 Lov 팝업의 데이터를 확인한다.</v>
      </c>
      <c r="F7" s="13" t="str">
        <f>IFERROR(VLOOKUP($D7, '테스트 케이스'!$D$6:$G$1001, 3, FALSE), "")</f>
        <v>설비 필드의 돋보기(Lov) 클릭 → 팝업의 목록(위치) 탭 Total 확인</v>
      </c>
      <c r="G7" s="13" t="str">
        <f>IFERROR(VLOOKUP($D7, '테스트 케이스'!$D$6:$G$1001, 4, FALSE), "")</f>
        <v>"설비" Lov 팝업이 열리고, 목록 건수와 내용이 [설비자산 &gt; 설비] 메뉴 목록과 일치함</v>
      </c>
      <c r="H7" s="5" t="s">
        <v>21</v>
      </c>
      <c r="I7" s="15" t="s">
        <v>22</v>
      </c>
      <c r="J7" s="32"/>
      <c r="K7" s="33">
        <v>46315</v>
      </c>
      <c r="L7" s="5"/>
      <c r="M7" s="6"/>
      <c r="N7" s="6"/>
      <c r="O7" s="6"/>
      <c r="P7" s="6"/>
    </row>
    <row r="8" spans="1:16" ht="27" x14ac:dyDescent="0.3">
      <c r="A8" s="35"/>
      <c r="B8" s="35"/>
      <c r="C8" s="35"/>
      <c r="D8" s="2" t="s">
        <v>24</v>
      </c>
      <c r="E8" s="13" t="str">
        <f>IFERROR(VLOOKUP($D8, '테스트 케이스'!$D$6:$G$1001, 2, FALSE), "")</f>
        <v>그 외 검색 필드 Lov 팝업의 데이터를 확인한다.</v>
      </c>
      <c r="F8" s="13" t="str">
        <f>IFERROR(VLOOKUP($D8, '테스트 케이스'!$D$6:$G$1001, 3, FALSE), "")</f>
        <v>설비위치, 공장명, 부서명, 작업그룹명, 담당자, 거래처, 시행여부의 돋보기(Lov)를 하나씩 클릭</v>
      </c>
      <c r="G8" s="13" t="str">
        <f>IFERROR(VLOOKUP($D8, '테스트 케이스'!$D$6:$G$1001, 4, FALSE), "")</f>
        <v>각 Lov 팝업이 열리고, 목록이 원본 메뉴(설비위치설정, 공장설정, 부서, 작업그룹, 사원, 거래처, 시스템코드 IS_USE)와 일치함</v>
      </c>
      <c r="H8" s="5" t="s">
        <v>21</v>
      </c>
      <c r="I8" s="15" t="s">
        <v>22</v>
      </c>
      <c r="J8" s="32"/>
      <c r="K8" s="33">
        <v>46315</v>
      </c>
      <c r="L8" s="5"/>
      <c r="M8" s="6"/>
      <c r="N8" s="6"/>
      <c r="O8" s="6"/>
      <c r="P8" s="6"/>
    </row>
    <row r="9" spans="1:16" ht="27" x14ac:dyDescent="0.3">
      <c r="A9" s="35"/>
      <c r="B9" s="35"/>
      <c r="C9" s="35"/>
      <c r="D9" s="2" t="s">
        <v>25</v>
      </c>
      <c r="E9" s="13" t="str">
        <f>IFERROR(VLOOKUP($D9, '테스트 케이스'!$D$6:$G$1001, 2, FALSE), "")</f>
        <v>조건 하나로 정기점검주기를 검색한다.</v>
      </c>
      <c r="F9" s="13" t="str">
        <f>IFERROR(VLOOKUP($D9, '테스트 케이스'!$D$6:$G$1001, 3, FALSE), "")</f>
        <v>검색 필드마다 실제 데이터 값 1개씩 입력(Lov 필드는 Lov에서 선택) 후 검색 버튼 클릭</v>
      </c>
      <c r="G9" s="13" t="str">
        <f>IFERROR(VLOOKUP($D9, '테스트 케이스'!$D$6:$G$1001, 4, FALSE), "")</f>
        <v>입력한 조건에 맞는 데이터만 목록에 표시되고, 우측 하단 Total 숫자와 조회 건수가 일치함</v>
      </c>
      <c r="H9" s="5" t="s">
        <v>21</v>
      </c>
      <c r="I9" s="15" t="s">
        <v>22</v>
      </c>
      <c r="J9" s="32"/>
      <c r="K9" s="33">
        <v>46315</v>
      </c>
      <c r="L9" s="5"/>
      <c r="M9" s="6"/>
      <c r="N9" s="6"/>
      <c r="O9" s="6"/>
      <c r="P9" s="6"/>
    </row>
    <row r="10" spans="1:16" x14ac:dyDescent="0.3">
      <c r="A10" s="35"/>
      <c r="B10" s="35"/>
      <c r="C10" s="35"/>
      <c r="D10" s="2" t="s">
        <v>26</v>
      </c>
      <c r="E10" s="13" t="str">
        <f>IFERROR(VLOOKUP($D10, '테스트 케이스'!$D$6:$G$1001, 2, FALSE), "")</f>
        <v>여러 조건을 조합하여 검색한다.</v>
      </c>
      <c r="F10" s="13" t="str">
        <f>IFERROR(VLOOKUP($D10, '테스트 케이스'!$D$6:$G$1001, 3, FALSE), "")</f>
        <v>① 공장명 + 시행여부  ② 설비 + 부서명 을 함께 입력 후 검색</v>
      </c>
      <c r="G10" s="13" t="str">
        <f>IFERROR(VLOOKUP($D10, '테스트 케이스'!$D$6:$G$1001, 4, FALSE), "")</f>
        <v>모든 조건을 동시에 만족하는 데이터만 표시됨</v>
      </c>
      <c r="H10" s="5" t="s">
        <v>21</v>
      </c>
      <c r="I10" s="15" t="s">
        <v>22</v>
      </c>
      <c r="J10" s="32"/>
      <c r="K10" s="33">
        <v>46315</v>
      </c>
      <c r="L10" s="5"/>
      <c r="M10" s="6"/>
      <c r="N10" s="6"/>
      <c r="O10" s="6"/>
      <c r="P10" s="6"/>
    </row>
    <row r="11" spans="1:16" ht="27" x14ac:dyDescent="0.3">
      <c r="A11" s="35"/>
      <c r="B11" s="35"/>
      <c r="C11" s="35"/>
      <c r="D11" s="2" t="s">
        <v>27</v>
      </c>
      <c r="E11" s="13" t="str">
        <f>IFERROR(VLOOKUP($D11, '테스트 케이스'!$D$6:$G$1001, 2, FALSE), "")</f>
        <v>정기점검주기 전체를 검색한다.</v>
      </c>
      <c r="F11" s="13" t="str">
        <f>IFERROR(VLOOKUP($D11, '테스트 케이스'!$D$6:$G$1001, 3, FALSE), "")</f>
        <v>검색 필드의 값을 모두 지운 뒤 검색 버튼 클릭</v>
      </c>
      <c r="G11" s="13" t="str">
        <f>IFERROR(VLOOKUP($D11, '테스트 케이스'!$D$6:$G$1001, 4, FALSE), "")</f>
        <v>시행여부 Y/N 구분 없이 등록된 전체 데이터가 표시되고 Total n/n 이 전체 건수와 일치함</v>
      </c>
      <c r="H11" s="5" t="s">
        <v>21</v>
      </c>
      <c r="I11" s="15" t="s">
        <v>22</v>
      </c>
      <c r="J11" s="32"/>
      <c r="K11" s="33">
        <v>46315</v>
      </c>
      <c r="L11" s="5"/>
      <c r="M11" s="6"/>
      <c r="N11" s="6"/>
      <c r="O11" s="6"/>
      <c r="P11" s="6"/>
    </row>
    <row r="12" spans="1:16" x14ac:dyDescent="0.3">
      <c r="A12" s="35"/>
      <c r="B12" s="36"/>
      <c r="C12" s="36"/>
      <c r="D12" s="2" t="s">
        <v>28</v>
      </c>
      <c r="E12" s="13" t="str">
        <f>IFERROR(VLOOKUP($D12, '테스트 케이스'!$D$6:$G$1001, 2, FALSE), "")</f>
        <v>검색 결과가 없는 조건으로 검색한다.</v>
      </c>
      <c r="F12" s="13" t="str">
        <f>IFERROR(VLOOKUP($D12, '테스트 케이스'!$D$6:$G$1001, 3, FALSE), "")</f>
        <v>존재하지 않는 작업명 입력 후 검색</v>
      </c>
      <c r="G12" s="13" t="str">
        <f>IFERROR(VLOOKUP($D12, '테스트 케이스'!$D$6:$G$1001, 4, FALSE), "")</f>
        <v>목록이 비어 있고 Total 0/0 표시, 오류 팝업 없음</v>
      </c>
      <c r="H12" s="5" t="s">
        <v>21</v>
      </c>
      <c r="I12" s="15" t="s">
        <v>22</v>
      </c>
      <c r="J12" s="32"/>
      <c r="K12" s="33">
        <v>46315</v>
      </c>
      <c r="L12" s="5"/>
      <c r="M12" s="6"/>
      <c r="N12" s="6"/>
      <c r="O12" s="6"/>
      <c r="P12" s="6"/>
    </row>
    <row r="13" spans="1:16" ht="27" x14ac:dyDescent="0.3">
      <c r="A13" s="35"/>
      <c r="B13" s="2" t="s">
        <v>29</v>
      </c>
      <c r="C13" s="2" t="s">
        <v>19</v>
      </c>
      <c r="D13" s="2" t="s">
        <v>30</v>
      </c>
      <c r="E13" s="13" t="str">
        <f>IFERROR(VLOOKUP($D13, '테스트 케이스'!$D$6:$G$1001, 2, FALSE), "")</f>
        <v>트리에서 위치/종류를 선택하여 조회한다.</v>
      </c>
      <c r="F13" s="13" t="str">
        <f>IFERROR(VLOOKUP($D13, '테스트 케이스'!$D$6:$G$1001, 3, FALSE), "")</f>
        <v>① 목록(위치) 탭에서 위치명 트리의 위치 클릭  ② 목록(종류) 탭에서 설비종류 트리의 종류 클릭</v>
      </c>
      <c r="G13" s="13" t="str">
        <f>IFERROR(VLOOKUP($D13, '테스트 케이스'!$D$6:$G$1001, 4, FALSE), "")</f>
        <v>선택한 위치/종류에 속한 설비의 정기점검주기만 오른쪽 목록에 표시됨</v>
      </c>
      <c r="H13" s="5" t="s">
        <v>21</v>
      </c>
      <c r="I13" s="15" t="s">
        <v>22</v>
      </c>
      <c r="J13" s="32"/>
      <c r="K13" s="33">
        <v>46315</v>
      </c>
      <c r="L13" s="5"/>
      <c r="M13" s="6"/>
      <c r="N13" s="6"/>
      <c r="O13" s="6"/>
      <c r="P13" s="6"/>
    </row>
    <row r="14" spans="1:16" x14ac:dyDescent="0.3">
      <c r="A14" s="35"/>
      <c r="B14" s="34" t="s">
        <v>31</v>
      </c>
      <c r="C14" s="2" t="s">
        <v>32</v>
      </c>
      <c r="D14" s="2" t="s">
        <v>33</v>
      </c>
      <c r="E14" s="13" t="str">
        <f>IFERROR(VLOOKUP($D14, '테스트 케이스'!$D$6:$G$1001, 2, FALSE), "")</f>
        <v>조회된 목록을 정렬한다.</v>
      </c>
      <c r="F14" s="13" t="str">
        <f>IFERROR(VLOOKUP($D14, '테스트 케이스'!$D$6:$G$1001, 3, FALSE), "")</f>
        <v>목록 그리드 헤더(예방작업번호, 작업명, 설비번호) 클릭 2회</v>
      </c>
      <c r="G14" s="13" t="str">
        <f>IFERROR(VLOOKUP($D14, '테스트 케이스'!$D$6:$G$1001, 4, FALSE), "")</f>
        <v>선택한 열 기준으로 오름차순 → 내림차순 정렬됨</v>
      </c>
      <c r="H14" s="5" t="s">
        <v>21</v>
      </c>
      <c r="I14" s="15" t="s">
        <v>22</v>
      </c>
      <c r="J14" s="32"/>
      <c r="K14" s="33">
        <v>46315</v>
      </c>
      <c r="L14" s="5"/>
      <c r="M14" s="6"/>
      <c r="N14" s="6"/>
      <c r="O14" s="6"/>
      <c r="P14" s="6"/>
    </row>
    <row r="15" spans="1:16" ht="27" x14ac:dyDescent="0.3">
      <c r="A15" s="35"/>
      <c r="B15" s="35"/>
      <c r="C15" s="34" t="s">
        <v>32</v>
      </c>
      <c r="D15" s="2" t="s">
        <v>34</v>
      </c>
      <c r="E15" s="13" t="str">
        <f>IFERROR(VLOOKUP($D15, '테스트 케이스'!$D$6:$G$1001, 2, FALSE), "")</f>
        <v>목록 건수 표시를 확인한다.</v>
      </c>
      <c r="F15" s="13" t="str">
        <f>IFERROR(VLOOKUP($D15, '테스트 케이스'!$D$6:$G$1001, 3, FALSE), "")</f>
        <v>전체 검색 후 목록을 끝까지 스크롤</v>
      </c>
      <c r="G15" s="13" t="str">
        <f>IFERROR(VLOOKUP($D15, '테스트 케이스'!$D$6:$G$1001, 4, FALSE), "")</f>
        <v>Total a/b 에서 a 는 화면에 불러온 건수, b 는 전체 건수이며 스크롤 시 끝까지 불러오면 a = b</v>
      </c>
      <c r="H15" s="5" t="s">
        <v>21</v>
      </c>
      <c r="I15" s="15" t="s">
        <v>22</v>
      </c>
      <c r="J15" s="32"/>
      <c r="K15" s="33">
        <v>46315</v>
      </c>
      <c r="L15" s="5"/>
      <c r="M15" s="6"/>
      <c r="N15" s="6"/>
      <c r="O15" s="6"/>
      <c r="P15" s="6"/>
    </row>
    <row r="16" spans="1:16" ht="27" x14ac:dyDescent="0.3">
      <c r="A16" s="35"/>
      <c r="B16" s="35"/>
      <c r="C16" s="35"/>
      <c r="D16" s="2" t="s">
        <v>35</v>
      </c>
      <c r="E16" s="13" t="str">
        <f>IFERROR(VLOOKUP($D16, '테스트 케이스'!$D$6:$G$1001, 2, FALSE), "")</f>
        <v>(행 클릭) 상세정보를 조회한다.</v>
      </c>
      <c r="F16" s="13" t="str">
        <f>IFERROR(VLOOKUP($D16, '테스트 케이스'!$D$6:$G$1001, 3, FALSE), "")</f>
        <v>목록의 데이터 행 클릭</v>
      </c>
      <c r="G16" s="13" t="str">
        <f>IFERROR(VLOOKUP($D16, '테스트 케이스'!$D$6:$G$1001, 4, FALSE), "")</f>
        <v>목록 하단에 상세(정기점검주기설정 : 번호 / 작업명)가 열리고 해당 데이터 값이 표시됨</v>
      </c>
      <c r="H16" s="5" t="s">
        <v>21</v>
      </c>
      <c r="I16" s="15" t="s">
        <v>22</v>
      </c>
      <c r="J16" s="32"/>
      <c r="K16" s="33">
        <v>46315</v>
      </c>
      <c r="L16" s="5"/>
      <c r="M16" s="6"/>
      <c r="N16" s="6"/>
      <c r="O16" s="6"/>
      <c r="P16" s="6"/>
    </row>
    <row r="17" spans="1:16" x14ac:dyDescent="0.3">
      <c r="A17" s="35"/>
      <c r="B17" s="35"/>
      <c r="C17" s="35"/>
      <c r="D17" s="2" t="s">
        <v>36</v>
      </c>
      <c r="E17" s="13" t="str">
        <f>IFERROR(VLOOKUP($D17, '테스트 케이스'!$D$6:$G$1001, 2, FALSE), "")</f>
        <v>(상세보기 버튼) 상세정보를 조회한다.</v>
      </c>
      <c r="F17" s="13" t="str">
        <f>IFERROR(VLOOKUP($D17, '테스트 케이스'!$D$6:$G$1001, 3, FALSE), "")</f>
        <v>목록에서 행 선택 후 상세보기 버튼 클릭</v>
      </c>
      <c r="G17" s="13" t="str">
        <f>IFERROR(VLOOKUP($D17, '테스트 케이스'!$D$6:$G$1001, 4, FALSE), "")</f>
        <v>선택한 데이터의 상세가 팝업창으로 열리며 하단 상세와 내용이 같음</v>
      </c>
      <c r="H17" s="5" t="s">
        <v>21</v>
      </c>
      <c r="I17" s="15" t="s">
        <v>22</v>
      </c>
      <c r="J17" s="32"/>
      <c r="K17" s="33">
        <v>46315</v>
      </c>
      <c r="L17" s="5"/>
      <c r="M17" s="6"/>
      <c r="N17" s="6"/>
      <c r="O17" s="6"/>
      <c r="P17" s="6"/>
    </row>
    <row r="18" spans="1:16" ht="27" x14ac:dyDescent="0.3">
      <c r="A18" s="35"/>
      <c r="B18" s="35"/>
      <c r="C18" s="35"/>
      <c r="D18" s="2" t="s">
        <v>37</v>
      </c>
      <c r="E18" s="13" t="str">
        <f>IFERROR(VLOOKUP($D18, '테스트 케이스'!$D$6:$G$1001, 2, FALSE), "")</f>
        <v>목록과 상세의 값이 일치하는지 확인한다.</v>
      </c>
      <c r="F18" s="13" t="str">
        <f>IFERROR(VLOOKUP($D18, '테스트 케이스'!$D$6:$G$1001, 3, FALSE), "")</f>
        <v>목록 한 행의 예방작업번호, 작업명, 설비, 작업그룹명, 담당자, 일정생성방법, 주기를 상세 값과 비교</v>
      </c>
      <c r="G18" s="13" t="str">
        <f>IFERROR(VLOOKUP($D18, '테스트 케이스'!$D$6:$G$1001, 4, FALSE), "")</f>
        <v>목록과 상세의 값이 모두 같음</v>
      </c>
      <c r="H18" s="5" t="s">
        <v>21</v>
      </c>
      <c r="I18" s="15" t="s">
        <v>22</v>
      </c>
      <c r="J18" s="32"/>
      <c r="K18" s="33">
        <v>46315</v>
      </c>
      <c r="L18" s="5"/>
      <c r="M18" s="6"/>
      <c r="N18" s="6"/>
      <c r="O18" s="6"/>
      <c r="P18" s="6"/>
    </row>
    <row r="19" spans="1:16" ht="27" x14ac:dyDescent="0.3">
      <c r="A19" s="35"/>
      <c r="B19" s="35"/>
      <c r="C19" s="35"/>
      <c r="D19" s="2" t="s">
        <v>38</v>
      </c>
      <c r="E19" s="13" t="str">
        <f>IFERROR(VLOOKUP($D19, '테스트 케이스'!$D$6:$G$1001, 2, FALSE), "")</f>
        <v>(목록) 데이터 표시 형식을 확인한다.</v>
      </c>
      <c r="F19" s="13" t="str">
        <f>IFERROR(VLOOKUP($D19, '테스트 케이스'!$D$6:$G$1001, 3, FALSE), "")</f>
        <v>목록의 숫자, 날짜, 텍스트, 코드 열 확인</v>
      </c>
      <c r="G19" s="13" t="str">
        <f>IFERROR(VLOOKUP($D19, '테스트 케이스'!$D$6:$G$1001, 4, FALSE), "")</f>
        <v>숫자: 천단위 쉼표, 오른쪽 정렬 / 날짜: yyyy-mm-dd, 가운데 정렬 / 텍스트: 왼쪽 정렬 / 코드: 가운데 정렬</v>
      </c>
      <c r="H19" s="5" t="s">
        <v>21</v>
      </c>
      <c r="I19" s="15" t="s">
        <v>22</v>
      </c>
      <c r="J19" s="32"/>
      <c r="K19" s="33">
        <v>46315</v>
      </c>
      <c r="L19" s="5"/>
      <c r="M19" s="6"/>
      <c r="N19" s="6"/>
      <c r="O19" s="6"/>
      <c r="P19" s="6"/>
    </row>
    <row r="20" spans="1:16" x14ac:dyDescent="0.3">
      <c r="A20" s="35"/>
      <c r="B20" s="35"/>
      <c r="C20" s="35"/>
      <c r="D20" s="2" t="s">
        <v>39</v>
      </c>
      <c r="E20" s="13" t="str">
        <f>IFERROR(VLOOKUP($D20, '테스트 케이스'!$D$6:$G$1001, 2, FALSE), "")</f>
        <v>(상세) 데이터 표시 형식을 확인한다.</v>
      </c>
      <c r="F20" s="13" t="str">
        <f>IFERROR(VLOOKUP($D20, '테스트 케이스'!$D$6:$G$1001, 3, FALSE), "")</f>
        <v>상세의 숫자(주기, 몇일전 일정생성?, 예상작업시간), 날짜 필드 확인</v>
      </c>
      <c r="G20" s="13" t="str">
        <f>IFERROR(VLOOKUP($D20, '테스트 케이스'!$D$6:$G$1001, 4, FALSE), "")</f>
        <v>숫자는 오른쪽 정렬, 날짜는 yyyy-mm-dd</v>
      </c>
      <c r="H20" s="5" t="s">
        <v>21</v>
      </c>
      <c r="I20" s="15" t="s">
        <v>22</v>
      </c>
      <c r="J20" s="32"/>
      <c r="K20" s="33">
        <v>46315</v>
      </c>
      <c r="L20" s="5"/>
      <c r="M20" s="6"/>
      <c r="N20" s="6"/>
      <c r="O20" s="6"/>
      <c r="P20" s="6"/>
    </row>
    <row r="21" spans="1:16" x14ac:dyDescent="0.3">
      <c r="A21" s="35"/>
      <c r="B21" s="35"/>
      <c r="C21" s="36"/>
      <c r="D21" s="2" t="s">
        <v>40</v>
      </c>
      <c r="E21" s="13" t="str">
        <f>IFERROR(VLOOKUP($D21, '테스트 케이스'!$D$6:$G$1001, 2, FALSE), "")</f>
        <v>읽기전용 필드를 확인한다.</v>
      </c>
      <c r="F21" s="13" t="str">
        <f>IFERROR(VLOOKUP($D21, '테스트 케이스'!$D$6:$G$1001, 3, FALSE), "")</f>
        <v>상세에서 작업종류, 작업형태, 예방작업번호 클릭 후 입력 시도</v>
      </c>
      <c r="G21" s="13" t="str">
        <f>IFERROR(VLOOKUP($D21, '테스트 케이스'!$D$6:$G$1001, 4, FALSE), "")</f>
        <v>회색으로 표시되고 값을 수정할 수 없음</v>
      </c>
      <c r="H21" s="5" t="s">
        <v>21</v>
      </c>
      <c r="I21" s="15" t="s">
        <v>22</v>
      </c>
      <c r="J21" s="32"/>
      <c r="K21" s="33">
        <v>46315</v>
      </c>
      <c r="L21" s="5"/>
      <c r="M21" s="6"/>
      <c r="N21" s="6"/>
      <c r="O21" s="6"/>
      <c r="P21" s="6"/>
    </row>
    <row r="22" spans="1:16" x14ac:dyDescent="0.3">
      <c r="A22" s="35"/>
      <c r="B22" s="35"/>
      <c r="C22" s="2" t="s">
        <v>41</v>
      </c>
      <c r="D22" s="2" t="s">
        <v>42</v>
      </c>
      <c r="E22" s="13" t="str">
        <f>IFERROR(VLOOKUP($D22, '테스트 케이스'!$D$6:$G$1001, 2, FALSE), "")</f>
        <v>상세를 닫는다.</v>
      </c>
      <c r="F22" s="13" t="str">
        <f>IFERROR(VLOOKUP($D22, '테스트 케이스'!$D$6:$G$1001, 3, FALSE), "")</f>
        <v>① 하단 상세의 닫기(ⓧ) 클릭  ② 상세보기 팝업의 X 클릭</v>
      </c>
      <c r="G22" s="13" t="str">
        <f>IFERROR(VLOOKUP($D22, '테스트 케이스'!$D$6:$G$1001, 4, FALSE), "")</f>
        <v>상세(팝업)가 닫히고 목록 화면만 남음</v>
      </c>
      <c r="H22" s="5" t="s">
        <v>21</v>
      </c>
      <c r="I22" s="15" t="s">
        <v>22</v>
      </c>
      <c r="J22" s="32"/>
      <c r="K22" s="33">
        <v>46315</v>
      </c>
      <c r="L22" s="5"/>
      <c r="M22" s="6"/>
      <c r="N22" s="6"/>
      <c r="O22" s="6"/>
      <c r="P22" s="6"/>
    </row>
    <row r="23" spans="1:16" ht="40.5" x14ac:dyDescent="0.3">
      <c r="A23" s="35"/>
      <c r="B23" s="35"/>
      <c r="C23" s="34" t="s">
        <v>43</v>
      </c>
      <c r="D23" s="2" t="s">
        <v>44</v>
      </c>
      <c r="E23" s="13" t="str">
        <f>IFERROR(VLOOKUP($D23, '테스트 케이스'!$D$6:$G$1001, 2, FALSE), "")</f>
        <v>생성 시 기본값을 확인한다.</v>
      </c>
      <c r="F23" s="13" t="str">
        <f>IFERROR(VLOOKUP($D23, '테스트 케이스'!$D$6:$G$1001, 3, FALSE), "")</f>
        <v>목록의 생성 버튼 클릭 (목록(위치)/(종류)에서는 작업형태 선택)</v>
      </c>
      <c r="G23" s="13" t="str">
        <f>IFERROR(VLOOKUP($D23, '테스트 케이스'!$D$6:$G$1001, 4, FALSE), "")</f>
        <v>빈 상세가 열리고 기본값이 채워짐: 작업종류·작업형태 = 정기점검, 예방작업번호 자동 부여, 시행여부 Y, 일정생성방법 TBM, 몇일전 일정생성? 7, 공장·부서명 = 로그인 사용자 소속</v>
      </c>
      <c r="H23" s="5" t="s">
        <v>21</v>
      </c>
      <c r="I23" s="15" t="s">
        <v>22</v>
      </c>
      <c r="J23" s="32"/>
      <c r="K23" s="33">
        <v>46315</v>
      </c>
      <c r="L23" s="5"/>
      <c r="M23" s="6"/>
      <c r="N23" s="6"/>
      <c r="O23" s="6"/>
      <c r="P23" s="6"/>
    </row>
    <row r="24" spans="1:16" ht="54" x14ac:dyDescent="0.3">
      <c r="A24" s="35"/>
      <c r="B24" s="35"/>
      <c r="C24" s="35"/>
      <c r="D24" s="2" t="s">
        <v>45</v>
      </c>
      <c r="E24" s="13" t="str">
        <f>IFERROR(VLOOKUP($D24, '테스트 케이스'!$D$6:$G$1001, 2, FALSE), "")</f>
        <v>필수값을 모두 넣어 정기점검주기를 생성한다.</v>
      </c>
      <c r="F24" s="13" t="str">
        <f>IFERROR(VLOOKUP($D24, '테스트 케이스'!$D$6:$G$1001, 3, FALSE), "")</f>
        <v>1. 생성 클릭
2. 작업명, 주기(숫자+주기구분), 근무달력 입력(Lov 선택), 그 외 담당자·작업그룹 입력
3. 저장 → OK</v>
      </c>
      <c r="G24" s="13" t="str">
        <f>IFERROR(VLOOKUP($D24, '테스트 케이스'!$D$6:$G$1001, 4, FALSE), "")</f>
        <v>저장 완료, 목록에 새 행 추가, 상세 제목에 예방작업번호 / 작업명 표시</v>
      </c>
      <c r="H24" s="5" t="s">
        <v>21</v>
      </c>
      <c r="I24" s="15" t="s">
        <v>22</v>
      </c>
      <c r="J24" s="32"/>
      <c r="K24" s="33">
        <v>46315</v>
      </c>
      <c r="L24" s="5"/>
      <c r="M24" s="6"/>
      <c r="N24" s="6"/>
      <c r="O24" s="6"/>
      <c r="P24" s="6"/>
    </row>
    <row r="25" spans="1:16" ht="27" x14ac:dyDescent="0.3">
      <c r="A25" s="35"/>
      <c r="B25" s="35"/>
      <c r="C25" s="36"/>
      <c r="D25" s="2" t="s">
        <v>46</v>
      </c>
      <c r="E25" s="13" t="str">
        <f>IFERROR(VLOOKUP($D25, '테스트 케이스'!$D$6:$G$1001, 2, FALSE), "")</f>
        <v>필수값을 하나씩 비우고 저장한다.</v>
      </c>
      <c r="F25" s="13" t="str">
        <f>IFERROR(VLOOKUP($D25, '테스트 케이스'!$D$6:$G$1001, 3, FALSE), "")</f>
        <v>작업명, 일정생성방법, 주기, 몇일전 일정생성?, 근무달력, 부서명을 하나씩 비운 채 저장 → OK</v>
      </c>
      <c r="G25" s="13" t="str">
        <f>IFERROR(VLOOKUP($D25, '테스트 케이스'!$D$6:$G$1001, 4, FALSE), "")</f>
        <v>각각 필수값 누락 팝업이 뜨고 저장되지 않음 (6건 모두)</v>
      </c>
      <c r="H25" s="5" t="s">
        <v>21</v>
      </c>
      <c r="I25" s="15" t="s">
        <v>22</v>
      </c>
      <c r="J25" s="32"/>
      <c r="K25" s="33">
        <v>46315</v>
      </c>
      <c r="L25" s="5"/>
      <c r="M25" s="6"/>
      <c r="N25" s="6"/>
      <c r="O25" s="6"/>
      <c r="P25" s="6"/>
    </row>
    <row r="26" spans="1:16" ht="27" x14ac:dyDescent="0.3">
      <c r="A26" s="35"/>
      <c r="B26" s="35"/>
      <c r="C26" s="34" t="s">
        <v>47</v>
      </c>
      <c r="D26" s="2" t="s">
        <v>48</v>
      </c>
      <c r="E26" s="13" t="str">
        <f>IFERROR(VLOOKUP($D26, '테스트 케이스'!$D$6:$G$1001, 2, FALSE), "")</f>
        <v>저장된 정기점검주기를 수정한다.</v>
      </c>
      <c r="F26" s="13" t="str">
        <f>IFERROR(VLOOKUP($D26, '테스트 케이스'!$D$6:$G$1001, 3, FALSE), "")</f>
        <v>상세에서 작업명, 주기, 담당자, 비고 변경 후 저장 → OK</v>
      </c>
      <c r="G26" s="13" t="str">
        <f>IFERROR(VLOOKUP($D26, '테스트 케이스'!$D$6:$G$1001, 4, FALSE), "")</f>
        <v>변경 내용이 상세와 목록에 반영됨 (팝업에서 수정한 경우 재검색 후 반영)</v>
      </c>
      <c r="H26" s="5" t="s">
        <v>21</v>
      </c>
      <c r="I26" s="15" t="s">
        <v>22</v>
      </c>
      <c r="J26" s="32"/>
      <c r="K26" s="33">
        <v>46315</v>
      </c>
      <c r="L26" s="5"/>
      <c r="M26" s="6"/>
      <c r="N26" s="6"/>
      <c r="O26" s="6"/>
      <c r="P26" s="6"/>
    </row>
    <row r="27" spans="1:16" x14ac:dyDescent="0.3">
      <c r="A27" s="35"/>
      <c r="B27" s="35"/>
      <c r="C27" s="36"/>
      <c r="D27" s="2" t="s">
        <v>49</v>
      </c>
      <c r="E27" s="13" t="str">
        <f>IFERROR(VLOOKUP($D27, '테스트 케이스'!$D$6:$G$1001, 2, FALSE), "")</f>
        <v>필수값을 지우고 수정한다.</v>
      </c>
      <c r="F27" s="13" t="str">
        <f>IFERROR(VLOOKUP($D27, '테스트 케이스'!$D$6:$G$1001, 3, FALSE), "")</f>
        <v>상세에서 작업명을 지운 뒤 저장 → OK</v>
      </c>
      <c r="G27" s="13" t="str">
        <f>IFERROR(VLOOKUP($D27, '테스트 케이스'!$D$6:$G$1001, 4, FALSE), "")</f>
        <v>필수값 누락 팝업이 뜨고 수정되지 않음</v>
      </c>
      <c r="H27" s="5" t="s">
        <v>21</v>
      </c>
      <c r="I27" s="15" t="s">
        <v>22</v>
      </c>
      <c r="J27" s="32"/>
      <c r="K27" s="33">
        <v>46315</v>
      </c>
      <c r="L27" s="5"/>
      <c r="M27" s="6"/>
      <c r="N27" s="6"/>
      <c r="O27" s="6"/>
      <c r="P27" s="6"/>
    </row>
    <row r="28" spans="1:16" ht="27" x14ac:dyDescent="0.3">
      <c r="A28" s="35"/>
      <c r="B28" s="35"/>
      <c r="C28" s="34" t="s">
        <v>50</v>
      </c>
      <c r="D28" s="2" t="s">
        <v>51</v>
      </c>
      <c r="E28" s="13" t="str">
        <f>IFERROR(VLOOKUP($D28, '테스트 케이스'!$D$6:$G$1001, 2, FALSE), "")</f>
        <v>선택한 정기점검주기를 삭제한다. (체크O)</v>
      </c>
      <c r="F28" s="13" t="str">
        <f>IFERROR(VLOOKUP($D28, '테스트 케이스'!$D$6:$G$1001, 3, FALSE), "")</f>
        <v>목록 좌측 체크박스로 이 테스트에서 만든 데이터 선택 → 삭제 → OK (탭별로 확인)</v>
      </c>
      <c r="G28" s="13" t="str">
        <f>IFERROR(VLOOKUP($D28, '테스트 케이스'!$D$6:$G$1001, 4, FALSE), "")</f>
        <v>선택한 데이터가 삭제되고 목록에서 사라짐</v>
      </c>
      <c r="H28" s="5" t="s">
        <v>21</v>
      </c>
      <c r="I28" s="15" t="s">
        <v>22</v>
      </c>
      <c r="J28" s="32"/>
      <c r="K28" s="33">
        <v>46315</v>
      </c>
      <c r="L28" s="5"/>
      <c r="M28" s="6"/>
      <c r="N28" s="6"/>
      <c r="O28" s="6"/>
      <c r="P28" s="6"/>
    </row>
    <row r="29" spans="1:16" ht="40.5" x14ac:dyDescent="0.3">
      <c r="A29" s="35"/>
      <c r="B29" s="35"/>
      <c r="C29" s="36"/>
      <c r="D29" s="2" t="s">
        <v>52</v>
      </c>
      <c r="E29" s="13" t="str">
        <f>IFERROR(VLOOKUP($D29, '테스트 케이스'!$D$6:$G$1001, 2, FALSE), "")</f>
        <v>선택 없이 삭제한다. (체크X)</v>
      </c>
      <c r="F29" s="13" t="str">
        <f>IFERROR(VLOOKUP($D29, '테스트 케이스'!$D$6:$G$1001, 3, FALSE), "")</f>
        <v>체크박스 선택 없이 삭제 클릭</v>
      </c>
      <c r="G29" s="13" t="str">
        <f>IFERROR(VLOOKUP($D29, '테스트 케이스'!$D$6:$G$1001, 4, FALSE), "")</f>
        <v>"선택된 데이터가 없습니다" 팝업, 삭제되지 않음</v>
      </c>
      <c r="H29" s="5" t="s">
        <v>21</v>
      </c>
      <c r="I29" s="15" t="s">
        <v>22</v>
      </c>
      <c r="J29" s="32" t="s">
        <v>53</v>
      </c>
      <c r="K29" s="33">
        <v>46315</v>
      </c>
      <c r="L29" s="5"/>
      <c r="M29" s="6"/>
      <c r="N29" s="6"/>
      <c r="O29" s="6"/>
      <c r="P29" s="6"/>
    </row>
    <row r="30" spans="1:16" ht="27" x14ac:dyDescent="0.3">
      <c r="A30" s="35"/>
      <c r="B30" s="35"/>
      <c r="C30" s="2" t="s">
        <v>54</v>
      </c>
      <c r="D30" s="2" t="s">
        <v>55</v>
      </c>
      <c r="E30" s="13" t="str">
        <f>IFERROR(VLOOKUP($D30, '테스트 케이스'!$D$6:$G$1001, 2, FALSE), "")</f>
        <v>목록을 Excel로 다운로드한다.</v>
      </c>
      <c r="F30" s="13" t="str">
        <f>IFERROR(VLOOKUP($D30, '테스트 케이스'!$D$6:$G$1001, 3, FALSE), "")</f>
        <v>1. 조건 검색
2. Excel 버튼 클릭 후 파일 열기</v>
      </c>
      <c r="G30" s="13" t="str">
        <f>IFERROR(VLOOKUP($D30, '테스트 케이스'!$D$6:$G$1001, 4, FALSE), "")</f>
        <v>조회된 데이터가 담긴 Excel 파일이 받아지고, 행 수와 열 이름이 목록과 같음 (조회 결과가 없으면 헤더만 있음)</v>
      </c>
      <c r="H30" s="5" t="s">
        <v>21</v>
      </c>
      <c r="I30" s="15" t="s">
        <v>22</v>
      </c>
      <c r="J30" s="32"/>
      <c r="K30" s="33">
        <v>46315</v>
      </c>
      <c r="L30" s="5"/>
      <c r="M30" s="6"/>
      <c r="N30" s="6"/>
      <c r="O30" s="6"/>
      <c r="P30" s="6"/>
    </row>
    <row r="31" spans="1:16" ht="67.5" x14ac:dyDescent="0.3">
      <c r="A31" s="35"/>
      <c r="B31" s="35"/>
      <c r="C31" s="2" t="s">
        <v>56</v>
      </c>
      <c r="D31" s="2" t="s">
        <v>57</v>
      </c>
      <c r="E31" s="13" t="str">
        <f>IFERROR(VLOOKUP($D31, '테스트 케이스'!$D$6:$G$1001, 2, FALSE), "")</f>
        <v>Setting(사용자정의)에서 설정을 바꾸면 화면에 반영되는지 확인한다.</v>
      </c>
      <c r="F31" s="13" t="str">
        <f>IFERROR(VLOOKUP($D31, '테스트 케이스'!$D$6:$G$1001, 3, FALSE), "")</f>
        <v>목록 Setting: 칼럼 숨기기/보이기, 정렬값·너비 수정, 리스트 길이 수정, 초기화
검색 Setting: 필드 숨기기/보이기, 정렬값 수정, 초기화
Tab 설정: 상세 탭 숨기기 후 초기화
(끝나면 원래 값으로 되돌림)</v>
      </c>
      <c r="G31" s="13" t="str">
        <f>IFERROR(VLOOKUP($D31, '테스트 케이스'!$D$6:$G$1001, 4, FALSE), "")</f>
        <v>바꾼 설정이 목록·검색 영역·상세 탭에 반영되고, 되돌리거나 초기화하면 원래대로 돌아옴
※ Setting 은 개인 저장 (내 계정에만 적용)</v>
      </c>
      <c r="H31" s="5" t="s">
        <v>21</v>
      </c>
      <c r="I31" s="15" t="s">
        <v>22</v>
      </c>
      <c r="J31" s="32"/>
      <c r="K31" s="33">
        <v>46315</v>
      </c>
      <c r="L31" s="5"/>
      <c r="M31" s="6"/>
      <c r="N31" s="6"/>
      <c r="O31" s="6"/>
      <c r="P31" s="6"/>
    </row>
    <row r="32" spans="1:16" ht="27" x14ac:dyDescent="0.3">
      <c r="A32" s="35"/>
      <c r="B32" s="35"/>
      <c r="C32" s="34" t="s">
        <v>58</v>
      </c>
      <c r="D32" s="2" t="s">
        <v>59</v>
      </c>
      <c r="E32" s="13" t="str">
        <f>IFERROR(VLOOKUP($D32, '테스트 케이스'!$D$6:$G$1001, 2, FALSE), "")</f>
        <v>TBM 정기점검주기의 일정을 생성한다.</v>
      </c>
      <c r="F32" s="13" t="str">
        <f>IFERROR(VLOOKUP($D32, '테스트 케이스'!$D$6:$G$1001, 3, FALSE), "")</f>
        <v>1. 저장된 정기점검주기(설비 포함) 상세에서 일정생성 클릭 → OK
2. [정기점검계획] 메뉴에서 해당 예방작업번호 조회</v>
      </c>
      <c r="G32" s="13" t="str">
        <f>IFERROR(VLOOKUP($D32, '테스트 케이스'!$D$6:$G$1001, 4, FALSE), "")</f>
        <v>완료 메시지 표시, 정기점검계획에 설비별 계획이 생성되고 첫 일정은 설비의 최초작업예정일 기준, 이후 일정은 주기 간격</v>
      </c>
      <c r="H32" s="5" t="s">
        <v>21</v>
      </c>
      <c r="I32" s="15" t="s">
        <v>22</v>
      </c>
      <c r="J32" s="32"/>
      <c r="K32" s="33">
        <v>46315</v>
      </c>
      <c r="L32" s="5"/>
      <c r="M32" s="6"/>
      <c r="N32" s="6"/>
      <c r="O32" s="6"/>
      <c r="P32" s="6"/>
    </row>
    <row r="33" spans="1:16" ht="40.5" x14ac:dyDescent="0.3">
      <c r="A33" s="35"/>
      <c r="B33" s="35"/>
      <c r="C33" s="36"/>
      <c r="D33" s="2" t="s">
        <v>60</v>
      </c>
      <c r="E33" s="13" t="str">
        <f>IFERROR(VLOOKUP($D33, '테스트 케이스'!$D$6:$G$1001, 2, FALSE), "")</f>
        <v>저장 전에 일정생성을 누른다.</v>
      </c>
      <c r="F33" s="13" t="str">
        <f>IFERROR(VLOOKUP($D33, '테스트 케이스'!$D$6:$G$1001, 3, FALSE), "")</f>
        <v>생성 클릭 후 값만 입력하고 저장하지 않은 상태에서 일정생성 클릭</v>
      </c>
      <c r="G33" s="13" t="str">
        <f>IFERROR(VLOOKUP($D33, '테스트 케이스'!$D$6:$G$1001, 4, FALSE), "")</f>
        <v>저장이 필요하다는 안내가 뜨고 일정이 생성되지 않음</v>
      </c>
      <c r="H33" s="5" t="s">
        <v>21</v>
      </c>
      <c r="I33" s="15" t="s">
        <v>22</v>
      </c>
      <c r="J33" s="32" t="s">
        <v>61</v>
      </c>
      <c r="K33" s="33">
        <v>46315</v>
      </c>
      <c r="L33" s="5"/>
      <c r="M33" s="6"/>
      <c r="N33" s="6"/>
      <c r="O33" s="6"/>
      <c r="P33" s="6"/>
    </row>
    <row r="34" spans="1:16" x14ac:dyDescent="0.3">
      <c r="A34" s="35"/>
      <c r="B34" s="35"/>
      <c r="C34" s="34" t="s">
        <v>62</v>
      </c>
      <c r="D34" s="2" t="s">
        <v>63</v>
      </c>
      <c r="E34" s="13" t="str">
        <f>IFERROR(VLOOKUP($D34, '테스트 케이스'!$D$6:$G$1001, 2, FALSE), "")</f>
        <v>점검일정을 확인한다.</v>
      </c>
      <c r="F34" s="13" t="str">
        <f>IFERROR(VLOOKUP($D34, '테스트 케이스'!$D$6:$G$1001, 3, FALSE), "")</f>
        <v>상세의 Linked → 점검일정 클릭</v>
      </c>
      <c r="G34" s="13" t="str">
        <f>IFERROR(VLOOKUP($D34, '테스트 케이스'!$D$6:$G$1001, 4, FALSE), "")</f>
        <v>해당 예방작업번호의 점검일정이 팝업(목록(조건))으로 열림</v>
      </c>
      <c r="H34" s="5" t="s">
        <v>21</v>
      </c>
      <c r="I34" s="15" t="s">
        <v>22</v>
      </c>
      <c r="J34" s="32"/>
      <c r="K34" s="33">
        <v>46315</v>
      </c>
      <c r="L34" s="5"/>
      <c r="M34" s="6"/>
      <c r="N34" s="6"/>
      <c r="O34" s="6"/>
      <c r="P34" s="6"/>
    </row>
    <row r="35" spans="1:16" x14ac:dyDescent="0.3">
      <c r="A35" s="35"/>
      <c r="B35" s="36"/>
      <c r="C35" s="36"/>
      <c r="D35" s="2" t="s">
        <v>64</v>
      </c>
      <c r="E35" s="13" t="str">
        <f>IFERROR(VLOOKUP($D35, '테스트 케이스'!$D$6:$G$1001, 2, FALSE), "")</f>
        <v>연간점검일정을 확인한다.</v>
      </c>
      <c r="F35" s="13" t="str">
        <f>IFERROR(VLOOKUP($D35, '테스트 케이스'!$D$6:$G$1001, 3, FALSE), "")</f>
        <v>상세의 Linked → 연간점검일정 클릭</v>
      </c>
      <c r="G35" s="13" t="str">
        <f>IFERROR(VLOOKUP($D35, '테스트 케이스'!$D$6:$G$1001, 4, FALSE), "")</f>
        <v>해당 예방작업번호의 연간점검일정이 팝업(카렌다(연간))으로 열림</v>
      </c>
      <c r="H35" s="5" t="s">
        <v>21</v>
      </c>
      <c r="I35" s="15" t="s">
        <v>22</v>
      </c>
      <c r="J35" s="32"/>
      <c r="K35" s="33">
        <v>46315</v>
      </c>
      <c r="L35" s="5"/>
      <c r="M35" s="6"/>
      <c r="N35" s="6"/>
      <c r="O35" s="6"/>
      <c r="P35" s="6"/>
    </row>
    <row r="36" spans="1:16" x14ac:dyDescent="0.3">
      <c r="A36" s="35"/>
      <c r="B36" s="34" t="s">
        <v>65</v>
      </c>
      <c r="C36" s="2" t="s">
        <v>66</v>
      </c>
      <c r="D36" s="2" t="s">
        <v>67</v>
      </c>
      <c r="E36" s="13" t="str">
        <f>IFERROR(VLOOKUP($D36, '테스트 케이스'!$D$6:$G$1001, 2, FALSE), "")</f>
        <v>설비 목록을 조회한다.</v>
      </c>
      <c r="F36" s="13" t="str">
        <f>IFERROR(VLOOKUP($D36, '테스트 케이스'!$D$6:$G$1001, 3, FALSE), "")</f>
        <v>상세 하단 설비 목록 확인</v>
      </c>
      <c r="G36" s="13" t="str">
        <f>IFERROR(VLOOKUP($D36, '테스트 케이스'!$D$6:$G$1001, 4, FALSE), "")</f>
        <v>등록된 설비가 표시되고 제목 옆 숫자, Total 과 행 수가 일치함</v>
      </c>
      <c r="H36" s="5" t="s">
        <v>21</v>
      </c>
      <c r="I36" s="15" t="s">
        <v>22</v>
      </c>
      <c r="J36" s="32"/>
      <c r="K36" s="33">
        <v>46315</v>
      </c>
      <c r="L36" s="5"/>
      <c r="M36" s="6"/>
      <c r="N36" s="6"/>
      <c r="O36" s="6"/>
      <c r="P36" s="6"/>
    </row>
    <row r="37" spans="1:16" ht="27" x14ac:dyDescent="0.3">
      <c r="A37" s="35"/>
      <c r="B37" s="35"/>
      <c r="C37" s="34" t="s">
        <v>68</v>
      </c>
      <c r="D37" s="2" t="s">
        <v>69</v>
      </c>
      <c r="E37" s="13" t="str">
        <f>IFERROR(VLOOKUP($D37, '테스트 케이스'!$D$6:$G$1001, 2, FALSE), "")</f>
        <v>설비를 추가한다.</v>
      </c>
      <c r="F37" s="13" t="str">
        <f>IFERROR(VLOOKUP($D37, '테스트 케이스'!$D$6:$G$1001, 3, FALSE), "")</f>
        <v>설비 목록의 생성 → 설비 돋보기(Lov)에서 설비 조회·선택 → 최초작업예정일 입력 → 저장 → OK</v>
      </c>
      <c r="G37" s="13" t="str">
        <f>IFERROR(VLOOKUP($D37, '테스트 케이스'!$D$6:$G$1001, 4, FALSE), "")</f>
        <v>선택한 설비가 목록에 추가되고 설비번호·설비명·설비위치가 Lov에서 고른 값과 같음</v>
      </c>
      <c r="H37" s="5" t="s">
        <v>21</v>
      </c>
      <c r="I37" s="15" t="s">
        <v>22</v>
      </c>
      <c r="J37" s="32"/>
      <c r="K37" s="33">
        <v>46315</v>
      </c>
      <c r="L37" s="5"/>
      <c r="M37" s="6"/>
      <c r="N37" s="6"/>
      <c r="O37" s="6"/>
      <c r="P37" s="6"/>
    </row>
    <row r="38" spans="1:16" x14ac:dyDescent="0.3">
      <c r="A38" s="35"/>
      <c r="B38" s="35"/>
      <c r="C38" s="36"/>
      <c r="D38" s="2" t="s">
        <v>70</v>
      </c>
      <c r="E38" s="13" t="str">
        <f>IFERROR(VLOOKUP($D38, '테스트 케이스'!$D$6:$G$1001, 2, FALSE), "")</f>
        <v>설비를 필수값 없이 추가한다.</v>
      </c>
      <c r="F38" s="13" t="str">
        <f>IFERROR(VLOOKUP($D38, '테스트 케이스'!$D$6:$G$1001, 3, FALSE), "")</f>
        <v>설비 목록의 생성 → 설비를 고르지 않고 저장 → OK</v>
      </c>
      <c r="G38" s="13" t="str">
        <f>IFERROR(VLOOKUP($D38, '테스트 케이스'!$D$6:$G$1001, 4, FALSE), "")</f>
        <v>필수값 누락 팝업, 저장되지 않음</v>
      </c>
      <c r="H38" s="5" t="s">
        <v>21</v>
      </c>
      <c r="I38" s="15" t="s">
        <v>22</v>
      </c>
      <c r="J38" s="32"/>
      <c r="K38" s="33">
        <v>46315</v>
      </c>
      <c r="L38" s="5"/>
      <c r="M38" s="6"/>
      <c r="N38" s="6"/>
      <c r="O38" s="6"/>
      <c r="P38" s="6"/>
    </row>
    <row r="39" spans="1:16" x14ac:dyDescent="0.3">
      <c r="A39" s="35"/>
      <c r="B39" s="35"/>
      <c r="C39" s="2" t="s">
        <v>71</v>
      </c>
      <c r="D39" s="2" t="s">
        <v>72</v>
      </c>
      <c r="E39" s="13" t="str">
        <f>IFERROR(VLOOKUP($D39, '테스트 케이스'!$D$6:$G$1001, 2, FALSE), "")</f>
        <v>설비의 최초작업예정일·시행여부를 수정한다.</v>
      </c>
      <c r="F39" s="13" t="str">
        <f>IFERROR(VLOOKUP($D39, '테스트 케이스'!$D$6:$G$1001, 3, FALSE), "")</f>
        <v>설비 행 클릭 → 최초작업예정일, 시행여부 변경 → 저장 → OK</v>
      </c>
      <c r="G39" s="13" t="str">
        <f>IFERROR(VLOOKUP($D39, '테스트 케이스'!$D$6:$G$1001, 4, FALSE), "")</f>
        <v>변경 내용이 설비 목록에 반영됨</v>
      </c>
      <c r="H39" s="5" t="s">
        <v>21</v>
      </c>
      <c r="I39" s="15" t="s">
        <v>22</v>
      </c>
      <c r="J39" s="32"/>
      <c r="K39" s="33">
        <v>46315</v>
      </c>
      <c r="L39" s="5"/>
      <c r="M39" s="6"/>
      <c r="N39" s="6"/>
      <c r="O39" s="6"/>
      <c r="P39" s="6"/>
    </row>
    <row r="40" spans="1:16" ht="94.5" x14ac:dyDescent="0.3">
      <c r="A40" s="35"/>
      <c r="B40" s="35"/>
      <c r="C40" s="2" t="s">
        <v>73</v>
      </c>
      <c r="D40" s="2" t="s">
        <v>74</v>
      </c>
      <c r="E40" s="13" t="str">
        <f>IFERROR(VLOOKUP($D40, '테스트 케이스'!$D$6:$G$1001, 2, FALSE), "")</f>
        <v>설비를 삭제한다. (체크O / 체크X)</v>
      </c>
      <c r="F40" s="13" t="str">
        <f>IFERROR(VLOOKUP($D40, '테스트 케이스'!$D$6:$G$1001, 3, FALSE), "")</f>
        <v>① 체크 후 삭제 → OK  ② 체크 없이 삭제</v>
      </c>
      <c r="G40" s="13" t="str">
        <f>IFERROR(VLOOKUP($D40, '테스트 케이스'!$D$6:$G$1001, 4, FALSE), "")</f>
        <v>① 선택한 설비만 삭제됨  ② "선택된 데이터가 없습니다" 팝업</v>
      </c>
      <c r="H40" s="5" t="s">
        <v>21</v>
      </c>
      <c r="I40" s="15" t="s">
        <v>22</v>
      </c>
      <c r="J40" s="32" t="s">
        <v>75</v>
      </c>
      <c r="K40" s="33">
        <v>46315</v>
      </c>
      <c r="L40" s="5" t="s">
        <v>76</v>
      </c>
      <c r="M40" s="6"/>
      <c r="N40" s="6"/>
      <c r="O40" s="6"/>
      <c r="P40" s="6"/>
    </row>
    <row r="41" spans="1:16" x14ac:dyDescent="0.3">
      <c r="A41" s="35"/>
      <c r="B41" s="36"/>
      <c r="C41" s="2" t="s">
        <v>77</v>
      </c>
      <c r="D41" s="2" t="s">
        <v>78</v>
      </c>
      <c r="E41" s="13" t="str">
        <f>IFERROR(VLOOKUP($D41, '테스트 케이스'!$D$6:$G$1001, 2, FALSE), "")</f>
        <v>설비 목록을 Excel로 다운로드한다.</v>
      </c>
      <c r="F41" s="13" t="str">
        <f>IFERROR(VLOOKUP($D41, '테스트 케이스'!$D$6:$G$1001, 3, FALSE), "")</f>
        <v>설비 목록의 Excel 클릭</v>
      </c>
      <c r="G41" s="13" t="str">
        <f>IFERROR(VLOOKUP($D41, '테스트 케이스'!$D$6:$G$1001, 4, FALSE), "")</f>
        <v>설비 목록이 담긴 Excel 파일이 받아짐 (데이터가 없으면 헤더만)</v>
      </c>
      <c r="H41" s="5" t="s">
        <v>21</v>
      </c>
      <c r="I41" s="15" t="s">
        <v>22</v>
      </c>
      <c r="J41" s="32"/>
      <c r="K41" s="33">
        <v>46315</v>
      </c>
      <c r="L41" s="5"/>
      <c r="M41" s="6"/>
      <c r="N41" s="6"/>
      <c r="O41" s="6"/>
      <c r="P41" s="6"/>
    </row>
    <row r="42" spans="1:16" ht="27" x14ac:dyDescent="0.3">
      <c r="A42" s="35"/>
      <c r="B42" s="2" t="s">
        <v>79</v>
      </c>
      <c r="C42" s="2" t="s">
        <v>80</v>
      </c>
      <c r="D42" s="2" t="s">
        <v>81</v>
      </c>
      <c r="E42" s="13" t="str">
        <f>IFERROR(VLOOKUP($D42, '테스트 케이스'!$D$6:$G$1001, 2, FALSE), "")</f>
        <v>표준작업을 추가하고 삭제한다.</v>
      </c>
      <c r="F42" s="13" t="str">
        <f>IFERROR(VLOOKUP($D42, '테스트 케이스'!$D$6:$G$1001, 3, FALSE), "")</f>
        <v>표준작업 목록의 생성 → 표준작업 Lov에서 선택 → 저장 → 체크 후 삭제</v>
      </c>
      <c r="G42" s="13" t="str">
        <f>IFERROR(VLOOKUP($D42, '테스트 케이스'!$D$6:$G$1001, 4, FALSE), "")</f>
        <v>추가 시 목록에 표시되고, 삭제 시 목록에서 사라짐</v>
      </c>
      <c r="H42" s="5" t="s">
        <v>21</v>
      </c>
      <c r="I42" s="15" t="s">
        <v>22</v>
      </c>
      <c r="J42" s="32"/>
      <c r="K42" s="33">
        <v>46315</v>
      </c>
      <c r="L42" s="5"/>
      <c r="M42" s="6"/>
      <c r="N42" s="6"/>
      <c r="O42" s="6"/>
      <c r="P42" s="6"/>
    </row>
    <row r="43" spans="1:16" ht="27" x14ac:dyDescent="0.3">
      <c r="A43" s="35"/>
      <c r="B43" s="34" t="s">
        <v>82</v>
      </c>
      <c r="C43" s="2" t="s">
        <v>68</v>
      </c>
      <c r="D43" s="2" t="s">
        <v>83</v>
      </c>
      <c r="E43" s="13" t="str">
        <f>IFERROR(VLOOKUP($D43, '테스트 케이스'!$D$6:$G$1001, 2, FALSE), "")</f>
        <v>점검항목을 직접 추가한다.</v>
      </c>
      <c r="F43" s="13" t="str">
        <f>IFERROR(VLOOKUP($D43, '테스트 케이스'!$D$6:$G$1001, 3, FALSE), "")</f>
        <v>점검 목록의 생성 → 점검순서, 부위, 점검항목, 점검방법, 적정기준, 수치/판정 입력 → 저장</v>
      </c>
      <c r="G43" s="13" t="str">
        <f>IFERROR(VLOOKUP($D43, '테스트 케이스'!$D$6:$G$1001, 4, FALSE), "")</f>
        <v>점검항목이 목록에 추가되고 점검순서대로 정렬됨</v>
      </c>
      <c r="H43" s="5" t="s">
        <v>21</v>
      </c>
      <c r="I43" s="15" t="s">
        <v>22</v>
      </c>
      <c r="J43" s="32"/>
      <c r="K43" s="33">
        <v>46315</v>
      </c>
      <c r="L43" s="5"/>
      <c r="M43" s="6"/>
      <c r="N43" s="6"/>
      <c r="O43" s="6"/>
      <c r="P43" s="6"/>
    </row>
    <row r="44" spans="1:16" ht="27" x14ac:dyDescent="0.3">
      <c r="A44" s="35"/>
      <c r="B44" s="35"/>
      <c r="C44" s="2" t="s">
        <v>84</v>
      </c>
      <c r="D44" s="2" t="s">
        <v>85</v>
      </c>
      <c r="E44" s="13" t="str">
        <f>IFERROR(VLOOKUP($D44, '테스트 케이스'!$D$6:$G$1001, 2, FALSE), "")</f>
        <v>표준항목을 선택하여 점검항목을 추가한다.</v>
      </c>
      <c r="F44" s="13" t="str">
        <f>IFERROR(VLOOKUP($D44, '테스트 케이스'!$D$6:$G$1001, 3, FALSE), "")</f>
        <v>표준항목선택 클릭 → 팝업에서 표준점검항목 선택 → 선택</v>
      </c>
      <c r="G44" s="13" t="str">
        <f>IFERROR(VLOOKUP($D44, '테스트 케이스'!$D$6:$G$1001, 4, FALSE), "")</f>
        <v>표준점검항목선택 팝업이 열리고, 선택한 항목이 점검 목록에 추가됨</v>
      </c>
      <c r="H44" s="5" t="s">
        <v>21</v>
      </c>
      <c r="I44" s="15" t="s">
        <v>22</v>
      </c>
      <c r="J44" s="32"/>
      <c r="K44" s="33">
        <v>46315</v>
      </c>
      <c r="L44" s="5"/>
      <c r="M44" s="6"/>
      <c r="N44" s="6"/>
      <c r="O44" s="6"/>
      <c r="P44" s="6"/>
    </row>
    <row r="45" spans="1:16" x14ac:dyDescent="0.3">
      <c r="A45" s="35"/>
      <c r="B45" s="35"/>
      <c r="C45" s="2" t="s">
        <v>71</v>
      </c>
      <c r="D45" s="2" t="s">
        <v>86</v>
      </c>
      <c r="E45" s="13" t="str">
        <f>IFERROR(VLOOKUP($D45, '테스트 케이스'!$D$6:$G$1001, 2, FALSE), "")</f>
        <v>점검항목의 기준값을 수정한다.</v>
      </c>
      <c r="F45" s="13" t="str">
        <f>IFERROR(VLOOKUP($D45, '테스트 케이스'!$D$6:$G$1001, 3, FALSE), "")</f>
        <v>수치형 점검항목 클릭 → 하한값, 기준값, 상한값, 단위 수정 → 저장</v>
      </c>
      <c r="G45" s="13" t="str">
        <f>IFERROR(VLOOKUP($D45, '테스트 케이스'!$D$6:$G$1001, 4, FALSE), "")</f>
        <v>변경 내용이 점검 목록에 반영됨</v>
      </c>
      <c r="H45" s="5" t="s">
        <v>21</v>
      </c>
      <c r="I45" s="15" t="s">
        <v>22</v>
      </c>
      <c r="J45" s="32"/>
      <c r="K45" s="33">
        <v>46315</v>
      </c>
      <c r="L45" s="5"/>
      <c r="M45" s="6"/>
      <c r="N45" s="6"/>
      <c r="O45" s="6"/>
      <c r="P45" s="6"/>
    </row>
    <row r="46" spans="1:16" ht="67.5" x14ac:dyDescent="0.3">
      <c r="A46" s="35"/>
      <c r="B46" s="36"/>
      <c r="C46" s="2" t="s">
        <v>73</v>
      </c>
      <c r="D46" s="2" t="s">
        <v>87</v>
      </c>
      <c r="E46" s="13" t="str">
        <f>IFERROR(VLOOKUP($D46, '테스트 케이스'!$D$6:$G$1001, 2, FALSE), "")</f>
        <v>점검항목을 삭제한다. (체크O / 체크X)</v>
      </c>
      <c r="F46" s="13" t="str">
        <f>IFERROR(VLOOKUP($D46, '테스트 케이스'!$D$6:$G$1001, 3, FALSE), "")</f>
        <v>① 체크 후 삭제 → OK  ② 체크 없이 삭제</v>
      </c>
      <c r="G46" s="13" t="str">
        <f>IFERROR(VLOOKUP($D46, '테스트 케이스'!$D$6:$G$1001, 4, FALSE), "")</f>
        <v>① 선택한 항목만 삭제됨  ② "선택된 데이터가 없습니다" 팝업</v>
      </c>
      <c r="H46" s="5" t="s">
        <v>21</v>
      </c>
      <c r="I46" s="15" t="s">
        <v>22</v>
      </c>
      <c r="J46" s="32" t="s">
        <v>88</v>
      </c>
      <c r="K46" s="33">
        <v>46315</v>
      </c>
      <c r="L46" s="5" t="s">
        <v>89</v>
      </c>
      <c r="M46" s="6"/>
      <c r="N46" s="6"/>
      <c r="O46" s="6"/>
      <c r="P46" s="6"/>
    </row>
    <row r="47" spans="1:16" ht="27" x14ac:dyDescent="0.3">
      <c r="A47" s="36"/>
      <c r="B47" s="2" t="s">
        <v>90</v>
      </c>
      <c r="C47" s="2" t="s">
        <v>80</v>
      </c>
      <c r="D47" s="2" t="s">
        <v>91</v>
      </c>
      <c r="E47" s="13" t="str">
        <f>IFERROR(VLOOKUP($D47, '테스트 케이스'!$D$6:$G$1001, 2, FALSE), "")</f>
        <v>첨부문서를 등록하고 삭제한다.</v>
      </c>
      <c r="F47" s="13" t="str">
        <f>IFERROR(VLOOKUP($D47, '테스트 케이스'!$D$6:$G$1001, 3, FALSE), "")</f>
        <v>첨부문서 목록의 생성 → 제목, 문서분류 입력, 파일 첨부 → 저장 → 체크 후 삭제</v>
      </c>
      <c r="G47" s="13" t="str">
        <f>IFERROR(VLOOKUP($D47, '테스트 케이스'!$D$6:$G$1001, 4, FALSE), "")</f>
        <v>등록 시 목록에 표시되고 파일을 내려받을 수 있음, 삭제 시 목록에서 사라짐</v>
      </c>
      <c r="H47" s="5" t="s">
        <v>21</v>
      </c>
      <c r="I47" s="15" t="s">
        <v>22</v>
      </c>
      <c r="J47" s="32"/>
      <c r="K47" s="33">
        <v>46315</v>
      </c>
      <c r="L47" s="5"/>
      <c r="M47" s="6"/>
      <c r="N47" s="6"/>
      <c r="O47" s="6"/>
      <c r="P47" s="6"/>
    </row>
    <row r="50" spans="1:16" x14ac:dyDescent="0.3">
      <c r="A50" t="s">
        <v>92</v>
      </c>
    </row>
    <row r="51" spans="1:16" ht="27" x14ac:dyDescent="0.3">
      <c r="A51" s="20" t="s">
        <v>1</v>
      </c>
      <c r="B51" s="21" t="s">
        <v>2</v>
      </c>
      <c r="C51" s="20" t="s">
        <v>3</v>
      </c>
      <c r="D51" s="20" t="s">
        <v>4</v>
      </c>
      <c r="E51" s="20" t="s">
        <v>5</v>
      </c>
      <c r="F51" s="20" t="s">
        <v>6</v>
      </c>
      <c r="G51" s="20" t="s">
        <v>7</v>
      </c>
      <c r="H51" s="22" t="s">
        <v>8</v>
      </c>
      <c r="I51" s="22" t="s">
        <v>9</v>
      </c>
      <c r="J51" s="22" t="s">
        <v>10</v>
      </c>
      <c r="K51" s="23" t="s">
        <v>11</v>
      </c>
      <c r="L51" s="23" t="s">
        <v>12</v>
      </c>
      <c r="M51" s="24" t="s">
        <v>13</v>
      </c>
      <c r="N51" s="24" t="s">
        <v>14</v>
      </c>
      <c r="O51" s="25" t="s">
        <v>15</v>
      </c>
      <c r="P51" s="26" t="s">
        <v>16</v>
      </c>
    </row>
    <row r="52" spans="1:16" ht="108" x14ac:dyDescent="0.3">
      <c r="A52" s="34" t="s">
        <v>17</v>
      </c>
      <c r="B52" s="34" t="s">
        <v>93</v>
      </c>
      <c r="C52" s="2" t="s">
        <v>58</v>
      </c>
      <c r="D52" s="2" t="s">
        <v>94</v>
      </c>
      <c r="E52" s="13" t="str">
        <f>IFERROR(VLOOKUP($D52, '테스트 케이스'!$D$6:$G$1001, 2, FALSE), "")</f>
        <v>UBM(사용달력)으로 일정을 생성한다.
(일정생성방법-UBM, 작업완료시일정재조정-Y)</v>
      </c>
      <c r="F52" s="13" t="str">
        <f>IFERROR(VLOOKUP($D52, '테스트 케이스'!$D$6:$G$1001, 3, FALSE), "")</f>
        <v>1. 생성 → 일정생성방법 UBM, 재조정 Y, 필수값 입력 후 저장 (계획이 2개 이상 생기도록 입력)
2. 일정생성 → OK
3. 정기점검계획에서 마지막을 제외한 계획 하나를 일정확정
4. 정기점검실행에서 작업 완료</v>
      </c>
      <c r="G52" s="13" t="str">
        <f>IFERROR(VLOOKUP($D52, '테스트 케이스'!$D$6:$G$1001, 4, FALSE), "")</f>
        <v>정기점검계획에 계획 생성, 정기점검실행에 작업 생성, 작업완료 후 이후 일정이 완료일 기준으로 재조정됨</v>
      </c>
      <c r="H52" s="5" t="s">
        <v>21</v>
      </c>
      <c r="I52" s="15" t="s">
        <v>95</v>
      </c>
      <c r="J52" s="32" t="s">
        <v>296</v>
      </c>
      <c r="K52" s="33">
        <v>46315</v>
      </c>
      <c r="L52" s="5" t="s">
        <v>96</v>
      </c>
      <c r="M52" s="6"/>
      <c r="N52" s="6"/>
      <c r="O52" s="6"/>
      <c r="P52" s="6"/>
    </row>
    <row r="53" spans="1:16" ht="27" x14ac:dyDescent="0.3">
      <c r="A53" s="35"/>
      <c r="B53" s="35"/>
      <c r="C53" s="34" t="s">
        <v>58</v>
      </c>
      <c r="D53" s="2" t="s">
        <v>97</v>
      </c>
      <c r="E53" s="13" t="str">
        <f>IFERROR(VLOOKUP($D53, '테스트 케이스'!$D$6:$G$1001, 2, FALSE), "")</f>
        <v>UBM(사용달력)으로 일정을 생성한다.
(일정생성방법-UBM, 작업완료시일정재조정-N)</v>
      </c>
      <c r="F53" s="13" t="str">
        <f>IFERROR(VLOOKUP($D53, '테스트 케이스'!$D$6:$G$1001, 3, FALSE), "")</f>
        <v>EC_001 과 같은 절차, 재조정 N</v>
      </c>
      <c r="G53" s="13" t="str">
        <f>IFERROR(VLOOKUP($D53, '테스트 케이스'!$D$6:$G$1001, 4, FALSE), "")</f>
        <v>작업완료 후에도 이후 일정이 바뀌지 않음</v>
      </c>
      <c r="H53" s="5" t="s">
        <v>21</v>
      </c>
      <c r="I53" s="15" t="s">
        <v>22</v>
      </c>
      <c r="J53" s="32"/>
      <c r="K53" s="33">
        <v>46315</v>
      </c>
      <c r="L53" s="5"/>
      <c r="M53" s="6"/>
      <c r="N53" s="6"/>
      <c r="O53" s="6"/>
      <c r="P53" s="6"/>
    </row>
    <row r="54" spans="1:16" ht="121.5" x14ac:dyDescent="0.3">
      <c r="A54" s="35"/>
      <c r="B54" s="35"/>
      <c r="C54" s="35"/>
      <c r="D54" s="2" t="s">
        <v>98</v>
      </c>
      <c r="E54" s="13" t="str">
        <f>IFERROR(VLOOKUP($D54, '테스트 케이스'!$D$6:$G$1001, 2, FALSE), "")</f>
        <v>RBM(가동달력)으로 일정을 생성한다.
(일정생성방법-RBM, 작업완료시일정재조정-Y)</v>
      </c>
      <c r="F54" s="13" t="str">
        <f>IFERROR(VLOOKUP($D54, '테스트 케이스'!$D$6:$G$1001, 3, FALSE), "")</f>
        <v>EC_001 과 같은 절차, 일정생성방법 RBM, 재조정 Y</v>
      </c>
      <c r="G54" s="13" t="str">
        <f>IFERROR(VLOOKUP($D54, '테스트 케이스'!$D$6:$G$1001, 4, FALSE), "")</f>
        <v>가동달력 기준으로 계획 생성, 작업완료 후 이후 일정 재조정됨</v>
      </c>
      <c r="H54" s="5" t="s">
        <v>21</v>
      </c>
      <c r="I54" s="15" t="s">
        <v>95</v>
      </c>
      <c r="J54" s="32" t="s">
        <v>99</v>
      </c>
      <c r="K54" s="33">
        <v>46315</v>
      </c>
      <c r="L54" s="5" t="s">
        <v>100</v>
      </c>
      <c r="M54" s="6"/>
      <c r="N54" s="6"/>
      <c r="O54" s="6"/>
      <c r="P54" s="6"/>
    </row>
    <row r="55" spans="1:16" ht="27" x14ac:dyDescent="0.3">
      <c r="A55" s="35"/>
      <c r="B55" s="35"/>
      <c r="C55" s="35"/>
      <c r="D55" s="2" t="s">
        <v>101</v>
      </c>
      <c r="E55" s="13" t="str">
        <f>IFERROR(VLOOKUP($D55, '테스트 케이스'!$D$6:$G$1001, 2, FALSE), "")</f>
        <v>RBM(가동달력)으로 일정을 생성한다.
(일정생성방법-RBM, 작업완료시일정재조정-N)</v>
      </c>
      <c r="F55" s="13" t="str">
        <f>IFERROR(VLOOKUP($D55, '테스트 케이스'!$D$6:$G$1001, 3, FALSE), "")</f>
        <v>EC_003 과 같은 절차, 재조정 N</v>
      </c>
      <c r="G55" s="13" t="str">
        <f>IFERROR(VLOOKUP($D55, '테스트 케이스'!$D$6:$G$1001, 4, FALSE), "")</f>
        <v>작업완료 후에도 이후 일정이 바뀌지 않음</v>
      </c>
      <c r="H55" s="5" t="s">
        <v>21</v>
      </c>
      <c r="I55" s="15" t="s">
        <v>22</v>
      </c>
      <c r="J55" s="32"/>
      <c r="K55" s="33">
        <v>46315</v>
      </c>
      <c r="L55" s="5"/>
      <c r="M55" s="6"/>
      <c r="N55" s="6"/>
      <c r="O55" s="6"/>
      <c r="P55" s="6"/>
    </row>
    <row r="56" spans="1:16" ht="27" x14ac:dyDescent="0.3">
      <c r="A56" s="35"/>
      <c r="B56" s="36"/>
      <c r="C56" s="36"/>
      <c r="D56" s="2" t="s">
        <v>102</v>
      </c>
      <c r="E56" s="13" t="str">
        <f>IFERROR(VLOOKUP($D56, '테스트 케이스'!$D$6:$G$1001, 2, FALSE), "")</f>
        <v>TBM 일정 재조정을 확인한다.
(TBM, 월 주기, 작업완료시일정재조정-Y)</v>
      </c>
      <c r="F56" s="13" t="str">
        <f>IFERROR(VLOOKUP($D56, '테스트 케이스'!$D$6:$G$1001, 3, FALSE), "")</f>
        <v>1. TBM, 1 월 주기, 재조정 Y 로 저장 후 일정생성
2. 첫 작업을 예정일보다 늦게 완료</v>
      </c>
      <c r="G56" s="13" t="str">
        <f>IFERROR(VLOOKUP($D56, '테스트 케이스'!$D$6:$G$1001, 4, FALSE), "")</f>
        <v>이후 일정이 실제 완료일 기준 1개월 간격으로 재조정됨</v>
      </c>
      <c r="H56" s="5" t="s">
        <v>21</v>
      </c>
      <c r="I56" s="15" t="s">
        <v>22</v>
      </c>
      <c r="J56" s="32"/>
      <c r="K56" s="33">
        <v>46315</v>
      </c>
      <c r="L56" s="5"/>
      <c r="M56" s="6"/>
      <c r="N56" s="6"/>
      <c r="O56" s="6"/>
      <c r="P56" s="6"/>
    </row>
    <row r="57" spans="1:16" x14ac:dyDescent="0.3">
      <c r="A57" s="35"/>
      <c r="B57" s="34" t="s">
        <v>65</v>
      </c>
      <c r="C57" s="2" t="s">
        <v>58</v>
      </c>
      <c r="D57" s="2" t="s">
        <v>103</v>
      </c>
      <c r="E57" s="13" t="str">
        <f>IFERROR(VLOOKUP($D57, '테스트 케이스'!$D$6:$G$1001, 2, FALSE), "")</f>
        <v>주기구분별 일정 간격을 확인한다.</v>
      </c>
      <c r="F57" s="13" t="str">
        <f>IFERROR(VLOOKUP($D57, '테스트 케이스'!$D$6:$G$1001, 3, FALSE), "")</f>
        <v>같은 설비로 일 / 주 / 월 / 년 주기를 각각 저장 후 일정생성</v>
      </c>
      <c r="G57" s="13" t="str">
        <f>IFERROR(VLOOKUP($D57, '테스트 케이스'!$D$6:$G$1001, 4, FALSE), "")</f>
        <v>각 계획의 간격이 주기 숫자 × 주기구분과 정확히 일치함</v>
      </c>
      <c r="H57" s="5" t="s">
        <v>21</v>
      </c>
      <c r="I57" s="15" t="s">
        <v>22</v>
      </c>
      <c r="J57" s="32"/>
      <c r="K57" s="33">
        <v>46315</v>
      </c>
      <c r="L57" s="5"/>
      <c r="M57" s="6"/>
      <c r="N57" s="6"/>
      <c r="O57" s="6"/>
      <c r="P57" s="6"/>
    </row>
    <row r="58" spans="1:16" x14ac:dyDescent="0.3">
      <c r="A58" s="35"/>
      <c r="B58" s="35"/>
      <c r="C58" s="34" t="s">
        <v>58</v>
      </c>
      <c r="D58" s="2" t="s">
        <v>104</v>
      </c>
      <c r="E58" s="13" t="str">
        <f>IFERROR(VLOOKUP($D58, '테스트 케이스'!$D$6:$G$1001, 2, FALSE), "")</f>
        <v>월말 시작일의 월 주기 일정을 확인한다.</v>
      </c>
      <c r="F58" s="13" t="str">
        <f>IFERROR(VLOOKUP($D58, '테스트 케이스'!$D$6:$G$1001, 3, FALSE), "")</f>
        <v>최초작업예정일 1월 31일, 1 월 주기로 일정생성</v>
      </c>
      <c r="G58" s="13" t="str">
        <f>IFERROR(VLOOKUP($D58, '테스트 케이스'!$D$6:$G$1001, 4, FALSE), "")</f>
        <v>2월은 말일(28/29일)로 생성되고 날짜가 3월로 넘어가거나 누락되지 않음</v>
      </c>
      <c r="H58" s="5" t="s">
        <v>21</v>
      </c>
      <c r="I58" s="15" t="s">
        <v>22</v>
      </c>
      <c r="J58" s="32"/>
      <c r="K58" s="33">
        <v>46315</v>
      </c>
      <c r="L58" s="5"/>
      <c r="M58" s="6"/>
      <c r="N58" s="6"/>
      <c r="O58" s="6"/>
      <c r="P58" s="6"/>
    </row>
    <row r="59" spans="1:16" ht="27" x14ac:dyDescent="0.3">
      <c r="A59" s="35"/>
      <c r="B59" s="35"/>
      <c r="C59" s="35"/>
      <c r="D59" s="2" t="s">
        <v>105</v>
      </c>
      <c r="E59" s="13" t="str">
        <f>IFERROR(VLOOKUP($D59, '테스트 케이스'!$D$6:$G$1001, 2, FALSE), "")</f>
        <v>시행여부 N 의 일정생성을 확인한다.</v>
      </c>
      <c r="F59" s="13" t="str">
        <f>IFERROR(VLOOKUP($D59, '테스트 케이스'!$D$6:$G$1001, 3, FALSE), "")</f>
        <v>① 정기점검주기 시행여부 N 으로 일정생성  ② 설비 행만 시행여부 N 으로 일정생성</v>
      </c>
      <c r="G59" s="13" t="str">
        <f>IFERROR(VLOOKUP($D59, '테스트 케이스'!$D$6:$G$1001, 4, FALSE), "")</f>
        <v>시행여부 N 인 대상은 계획이 생성되지 않음</v>
      </c>
      <c r="H59" s="5" t="s">
        <v>21</v>
      </c>
      <c r="I59" s="15" t="s">
        <v>22</v>
      </c>
      <c r="J59" s="32"/>
      <c r="K59" s="33">
        <v>46315</v>
      </c>
      <c r="L59" s="5"/>
      <c r="M59" s="6"/>
      <c r="N59" s="6"/>
      <c r="O59" s="6"/>
      <c r="P59" s="6"/>
    </row>
    <row r="60" spans="1:16" x14ac:dyDescent="0.3">
      <c r="A60" s="35"/>
      <c r="B60" s="35"/>
      <c r="C60" s="35"/>
      <c r="D60" s="2" t="s">
        <v>106</v>
      </c>
      <c r="E60" s="13" t="str">
        <f>IFERROR(VLOOKUP($D60, '테스트 케이스'!$D$6:$G$1001, 2, FALSE), "")</f>
        <v>일정생성을 두 번 실행한다.</v>
      </c>
      <c r="F60" s="13" t="str">
        <f>IFERROR(VLOOKUP($D60, '테스트 케이스'!$D$6:$G$1001, 3, FALSE), "")</f>
        <v>같은 정기점검주기에서 일정생성 → OK 를 2회 실행</v>
      </c>
      <c r="G60" s="13" t="str">
        <f>IFERROR(VLOOKUP($D60, '테스트 케이스'!$D$6:$G$1001, 4, FALSE), "")</f>
        <v>같은 날짜의 계획이 중복 생성되지 않음</v>
      </c>
      <c r="H60" s="5" t="s">
        <v>21</v>
      </c>
      <c r="I60" s="15" t="s">
        <v>22</v>
      </c>
      <c r="J60" s="32"/>
      <c r="K60" s="33">
        <v>46315</v>
      </c>
      <c r="L60" s="5"/>
      <c r="M60" s="6"/>
      <c r="N60" s="6"/>
      <c r="O60" s="6"/>
      <c r="P60" s="6"/>
    </row>
    <row r="61" spans="1:16" x14ac:dyDescent="0.3">
      <c r="A61" s="35"/>
      <c r="B61" s="36"/>
      <c r="C61" s="36"/>
      <c r="D61" s="2" t="s">
        <v>107</v>
      </c>
      <c r="E61" s="13" t="str">
        <f>IFERROR(VLOOKUP($D61, '테스트 케이스'!$D$6:$G$1001, 2, FALSE), "")</f>
        <v>설비가 여러 대인 주기의 일정을 생성한다.</v>
      </c>
      <c r="F61" s="13" t="str">
        <f>IFERROR(VLOOKUP($D61, '테스트 케이스'!$D$6:$G$1001, 3, FALSE), "")</f>
        <v>설비 2대(최초작업예정일 서로 다르게) 추가 후 일정생성</v>
      </c>
      <c r="G61" s="13" t="str">
        <f>IFERROR(VLOOKUP($D61, '테스트 케이스'!$D$6:$G$1001, 4, FALSE), "")</f>
        <v>설비별로 각자의 최초작업예정일 기준 계획이 생성됨</v>
      </c>
      <c r="H61" s="5" t="s">
        <v>21</v>
      </c>
      <c r="I61" s="15" t="s">
        <v>22</v>
      </c>
      <c r="J61" s="32"/>
      <c r="K61" s="33">
        <v>46315</v>
      </c>
      <c r="L61" s="5"/>
      <c r="M61" s="6"/>
      <c r="N61" s="6"/>
      <c r="O61" s="6"/>
      <c r="P61" s="6"/>
    </row>
    <row r="62" spans="1:16" ht="40.5" x14ac:dyDescent="0.3">
      <c r="A62" s="35"/>
      <c r="B62" s="34" t="s">
        <v>0</v>
      </c>
      <c r="C62" s="2" t="s">
        <v>108</v>
      </c>
      <c r="D62" s="2" t="s">
        <v>109</v>
      </c>
      <c r="E62" s="13" t="str">
        <f>IFERROR(VLOOKUP($D62, '테스트 케이스'!$D$6:$G$1001, 2, FALSE), "")</f>
        <v>주기에 잘못된 값을 넣는다.</v>
      </c>
      <c r="F62" s="13" t="str">
        <f>IFERROR(VLOOKUP($D62, '테스트 케이스'!$D$6:$G$1001, 3, FALSE), "")</f>
        <v>주기에 0, 음수, 소수, 문자 입력 후 저장</v>
      </c>
      <c r="G62" s="13" t="str">
        <f>IFERROR(VLOOKUP($D62, '테스트 케이스'!$D$6:$G$1001, 4, FALSE), "")</f>
        <v>입력이 막히거나 오류 팝업, 저장되지 않음</v>
      </c>
      <c r="H62" s="5" t="s">
        <v>21</v>
      </c>
      <c r="I62" s="15" t="s">
        <v>95</v>
      </c>
      <c r="J62" s="32" t="s">
        <v>110</v>
      </c>
      <c r="K62" s="33">
        <v>46315</v>
      </c>
      <c r="L62" s="5" t="s">
        <v>111</v>
      </c>
      <c r="M62" s="6"/>
      <c r="N62" s="6"/>
      <c r="O62" s="6"/>
      <c r="P62" s="6"/>
    </row>
    <row r="63" spans="1:16" ht="40.5" x14ac:dyDescent="0.3">
      <c r="A63" s="35"/>
      <c r="B63" s="35"/>
      <c r="C63" s="34" t="s">
        <v>108</v>
      </c>
      <c r="D63" s="2" t="s">
        <v>112</v>
      </c>
      <c r="E63" s="13" t="str">
        <f>IFERROR(VLOOKUP($D63, '테스트 케이스'!$D$6:$G$1001, 2, FALSE), "")</f>
        <v>몇일전 일정생성? 경계값을 확인한다.</v>
      </c>
      <c r="F63" s="13" t="str">
        <f>IFERROR(VLOOKUP($D63, '테스트 케이스'!$D$6:$G$1001, 3, FALSE), "")</f>
        <v>몇일전 일정생성? 에 0, 주기보다 큰 값(예: 1 주 주기에 30) 입력 후 저장·일정생성</v>
      </c>
      <c r="G63" s="13" t="str">
        <f>IFERROR(VLOOKUP($D63, '테스트 케이스'!$D$6:$G$1001, 4, FALSE), "")</f>
        <v>허용 범위가 아니면 막히고, 허용되면 그 값만큼 앞서 일정이 생성됨</v>
      </c>
      <c r="H63" s="5" t="s">
        <v>21</v>
      </c>
      <c r="I63" s="15" t="s">
        <v>22</v>
      </c>
      <c r="J63" s="32" t="s">
        <v>113</v>
      </c>
      <c r="K63" s="33">
        <v>46315</v>
      </c>
      <c r="L63" s="5"/>
      <c r="M63" s="6"/>
      <c r="N63" s="6"/>
      <c r="O63" s="6"/>
      <c r="P63" s="6"/>
    </row>
    <row r="64" spans="1:16" ht="121.5" x14ac:dyDescent="0.3">
      <c r="A64" s="35"/>
      <c r="B64" s="36"/>
      <c r="C64" s="36"/>
      <c r="D64" s="2" t="s">
        <v>114</v>
      </c>
      <c r="E64" s="13" t="str">
        <f>IFERROR(VLOOKUP($D64, '테스트 케이스'!$D$6:$G$1001, 2, FALSE), "")</f>
        <v>작업명 최대 길이와 특수문자를 확인한다.</v>
      </c>
      <c r="F64" s="13" t="str">
        <f>IFERROR(VLOOKUP($D64, '테스트 케이스'!$D$6:$G$1001, 3, FALSE), "")</f>
        <v>작업명에 최대 길이 초과 문자열, 특수문자(' " &lt; &gt; &amp;) 입력 후 저장</v>
      </c>
      <c r="G64" s="13" t="str">
        <f>IFERROR(VLOOKUP($D64, '테스트 케이스'!$D$6:$G$1001, 4, FALSE), "")</f>
        <v>최대 길이 초과는 막히고, 특수문자는 깨지지 않고 저장·표시됨</v>
      </c>
      <c r="H64" s="5" t="s">
        <v>21</v>
      </c>
      <c r="I64" s="15" t="s">
        <v>22</v>
      </c>
      <c r="J64" s="32" t="s">
        <v>115</v>
      </c>
      <c r="K64" s="33">
        <v>46315</v>
      </c>
      <c r="L64" s="5"/>
      <c r="M64" s="6"/>
      <c r="N64" s="6"/>
      <c r="O64" s="6"/>
      <c r="P64" s="6"/>
    </row>
    <row r="65" spans="1:16" ht="40.5" x14ac:dyDescent="0.3">
      <c r="A65" s="35"/>
      <c r="B65" s="2" t="s">
        <v>65</v>
      </c>
      <c r="C65" s="2" t="s">
        <v>108</v>
      </c>
      <c r="D65" s="2" t="s">
        <v>116</v>
      </c>
      <c r="E65" s="13" t="str">
        <f>IFERROR(VLOOKUP($D65, '테스트 케이스'!$D$6:$G$1001, 2, FALSE), "")</f>
        <v>같은 설비를 중복 추가한다.</v>
      </c>
      <c r="F65" s="13" t="str">
        <f>IFERROR(VLOOKUP($D65, '테스트 케이스'!$D$6:$G$1001, 3, FALSE), "")</f>
        <v>설비 목록에 이미 있는 설비를 Lov 에서 다시 선택하여 저장</v>
      </c>
      <c r="G65" s="13" t="str">
        <f>IFERROR(VLOOKUP($D65, '테스트 케이스'!$D$6:$G$1001, 4, FALSE), "")</f>
        <v>중복 안내 후 저장되지 않음 (업무상 허용이면 해당없음 처리)</v>
      </c>
      <c r="H65" s="5" t="s">
        <v>21</v>
      </c>
      <c r="I65" s="15" t="s">
        <v>95</v>
      </c>
      <c r="J65" s="32" t="s">
        <v>117</v>
      </c>
      <c r="K65" s="33">
        <v>46315</v>
      </c>
      <c r="L65" s="5" t="s">
        <v>118</v>
      </c>
      <c r="M65" s="6"/>
      <c r="N65" s="6"/>
      <c r="O65" s="6"/>
      <c r="P65" s="6"/>
    </row>
    <row r="66" spans="1:16" ht="63.75" customHeight="1" x14ac:dyDescent="0.3">
      <c r="A66" s="35"/>
      <c r="B66" s="34" t="s">
        <v>0</v>
      </c>
      <c r="C66" s="2" t="s">
        <v>58</v>
      </c>
      <c r="D66" s="2" t="s">
        <v>119</v>
      </c>
      <c r="E66" s="13" t="str">
        <f>IFERROR(VLOOKUP($D66, '테스트 케이스'!$D$6:$G$1001, 2, FALSE), "")</f>
        <v>일정생성 후 주기를 변경한다.</v>
      </c>
      <c r="F66" s="13" t="str">
        <f>IFERROR(VLOOKUP($D66, '테스트 케이스'!$D$6:$G$1001, 3, FALSE), "")</f>
        <v>일정생성된 정기점검주기의 주기를 1 월 → 2 월로 변경 후 저장, 다시 일정생성</v>
      </c>
      <c r="G66" s="13" t="str">
        <f>IFERROR(VLOOKUP($D66, '테스트 케이스'!$D$6:$G$1001, 4, FALSE), "")</f>
        <v>1. 주기만 변경·저장한 상태에서는 기존에 생성된 일정이 그대로 유지됨
2. 일정생성을 다시 누르면 기존 일정이 삭제되고 바뀐 주기로 다시 생성됨</v>
      </c>
      <c r="H66" s="5" t="s">
        <v>21</v>
      </c>
      <c r="I66" s="15" t="s">
        <v>22</v>
      </c>
      <c r="J66" s="32"/>
      <c r="K66" s="33">
        <v>46315</v>
      </c>
      <c r="L66" s="5"/>
      <c r="M66" s="6"/>
      <c r="N66" s="6"/>
      <c r="O66" s="6"/>
      <c r="P66" s="6"/>
    </row>
    <row r="67" spans="1:16" ht="94.5" x14ac:dyDescent="0.3">
      <c r="A67" s="36"/>
      <c r="B67" s="36"/>
      <c r="C67" s="2" t="s">
        <v>50</v>
      </c>
      <c r="D67" s="2" t="s">
        <v>120</v>
      </c>
      <c r="E67" s="13" t="str">
        <f>IFERROR(VLOOKUP($D67, '테스트 케이스'!$D$6:$G$1001, 2, FALSE), "")</f>
        <v>일정이 생성된 정기점검주기를 삭제한다.</v>
      </c>
      <c r="F67" s="13" t="str">
        <f>IFERROR(VLOOKUP($D67, '테스트 케이스'!$D$6:$G$1001, 3, FALSE), "")</f>
        <v>일정생성된 정기점검주기를 목록에서 삭제 → OK</v>
      </c>
      <c r="G67" s="13" t="str">
        <f>IFERROR(VLOOKUP($D67, '테스트 케이스'!$D$6:$G$1001, 4, FALSE), "")</f>
        <v>일정이 생성된 정기점검주기는 삭제할 수 없다는 안내가 뜨고 삭제되지 않음 (실제 동작을 QA내용에 함께 기록)</v>
      </c>
      <c r="H67" s="5" t="s">
        <v>21</v>
      </c>
      <c r="I67" s="15" t="s">
        <v>22</v>
      </c>
      <c r="J67" s="32" t="s">
        <v>121</v>
      </c>
      <c r="K67" s="33">
        <v>46315</v>
      </c>
      <c r="L67" s="5" t="s">
        <v>122</v>
      </c>
      <c r="M67" s="6"/>
      <c r="N67" s="6"/>
      <c r="O67" s="6"/>
      <c r="P67" s="6"/>
    </row>
  </sheetData>
  <mergeCells count="22">
    <mergeCell ref="B66:B67"/>
    <mergeCell ref="A2:P2"/>
    <mergeCell ref="C28:C29"/>
    <mergeCell ref="C34:C35"/>
    <mergeCell ref="C7:C12"/>
    <mergeCell ref="C37:C38"/>
    <mergeCell ref="B57:B61"/>
    <mergeCell ref="C53:C56"/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케이스</vt:lpstr>
      <vt:lpstr>Dev 조치사항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신영</dc:creator>
  <cp:lastModifiedBy>최 신영</cp:lastModifiedBy>
  <dcterms:created xsi:type="dcterms:W3CDTF">2025-02-10T07:03:31Z</dcterms:created>
  <dcterms:modified xsi:type="dcterms:W3CDTF">2026-10-27T04:29:57Z</dcterms:modified>
</cp:coreProperties>
</file>