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a-auto\docs\AZ303\"/>
    </mc:Choice>
  </mc:AlternateContent>
  <xr:revisionPtr revIDLastSave="0" documentId="13_ncr:1_{4546A778-3DCF-4FC3-9AFF-2EBD726076C7}" xr6:coauthVersionLast="47" xr6:coauthVersionMax="47" xr10:uidLastSave="{00000000-0000-0000-0000-000000000000}"/>
  <bookViews>
    <workbookView xWindow="28770" yWindow="0" windowWidth="21600" windowHeight="15585" activeTab="1" xr2:uid="{00000000-000D-0000-FFFF-FFFF00000000}"/>
  </bookViews>
  <sheets>
    <sheet name="테스트 케이스" sheetId="1" r:id="rId1"/>
    <sheet name="Dev 조치사항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9" i="1" l="1"/>
  <c r="J69" i="1" a="1"/>
  <c r="J69" i="1" s="1"/>
  <c r="I69" i="1" a="1"/>
  <c r="I69" i="1" s="1"/>
  <c r="H69" i="1" a="1"/>
  <c r="H69" i="1" s="1"/>
  <c r="K68" i="1"/>
  <c r="J68" i="1" a="1"/>
  <c r="J68" i="1" s="1"/>
  <c r="I68" i="1" a="1"/>
  <c r="I68" i="1" s="1"/>
  <c r="H68" i="1" a="1"/>
  <c r="H68" i="1" s="1"/>
  <c r="K67" i="1"/>
  <c r="J67" i="1" a="1"/>
  <c r="J67" i="1" s="1"/>
  <c r="I67" i="1" a="1"/>
  <c r="I67" i="1" s="1"/>
  <c r="H67" i="1" a="1"/>
  <c r="H67" i="1" s="1"/>
  <c r="K66" i="1"/>
  <c r="J66" i="1" a="1"/>
  <c r="J66" i="1" s="1"/>
  <c r="I66" i="1" a="1"/>
  <c r="I66" i="1" s="1"/>
  <c r="H66" i="1" a="1"/>
  <c r="H66" i="1" s="1"/>
  <c r="K65" i="1"/>
  <c r="J65" i="1" a="1"/>
  <c r="J65" i="1" s="1"/>
  <c r="I65" i="1" a="1"/>
  <c r="I65" i="1" s="1"/>
  <c r="H65" i="1" a="1"/>
  <c r="H65" i="1" s="1"/>
  <c r="K60" i="1"/>
  <c r="J60" i="1" a="1"/>
  <c r="J60" i="1" s="1"/>
  <c r="I60" i="1" a="1"/>
  <c r="I60" i="1" s="1"/>
  <c r="H60" i="1" a="1"/>
  <c r="H60" i="1" s="1"/>
  <c r="K59" i="1"/>
  <c r="J59" i="1" a="1"/>
  <c r="J59" i="1" s="1"/>
  <c r="I59" i="1" a="1"/>
  <c r="I59" i="1" s="1"/>
  <c r="H59" i="1" a="1"/>
  <c r="H59" i="1" s="1"/>
  <c r="K58" i="1"/>
  <c r="J58" i="1" a="1"/>
  <c r="J58" i="1" s="1"/>
  <c r="I58" i="1" a="1"/>
  <c r="I58" i="1"/>
  <c r="H58" i="1" a="1"/>
  <c r="H58" i="1"/>
  <c r="K57" i="1"/>
  <c r="J57" i="1" a="1"/>
  <c r="J57" i="1" s="1"/>
  <c r="I57" i="1" a="1"/>
  <c r="I57" i="1"/>
  <c r="H57" i="1" a="1"/>
  <c r="H57" i="1" s="1"/>
  <c r="K56" i="1"/>
  <c r="J56" i="1" a="1"/>
  <c r="J56" i="1" s="1"/>
  <c r="I56" i="1" a="1"/>
  <c r="I56" i="1" s="1"/>
  <c r="H56" i="1" a="1"/>
  <c r="H56" i="1" s="1"/>
  <c r="K55" i="1"/>
  <c r="J55" i="1" a="1"/>
  <c r="J55" i="1" s="1"/>
  <c r="I55" i="1" a="1"/>
  <c r="I55" i="1" s="1"/>
  <c r="H55" i="1" a="1"/>
  <c r="H55" i="1" s="1"/>
  <c r="K54" i="1"/>
  <c r="J54" i="1" a="1"/>
  <c r="J54" i="1" s="1"/>
  <c r="I54" i="1" a="1"/>
  <c r="I54" i="1" s="1"/>
  <c r="H54" i="1" a="1"/>
  <c r="H54" i="1" s="1"/>
  <c r="K53" i="1"/>
  <c r="J53" i="1" a="1"/>
  <c r="J53" i="1" s="1"/>
  <c r="I53" i="1" a="1"/>
  <c r="I53" i="1" s="1"/>
  <c r="H53" i="1" a="1"/>
  <c r="H53" i="1" s="1"/>
  <c r="K52" i="1"/>
  <c r="J52" i="1" a="1"/>
  <c r="J52" i="1" s="1"/>
  <c r="I52" i="1" a="1"/>
  <c r="I52" i="1" s="1"/>
  <c r="H52" i="1" a="1"/>
  <c r="H52" i="1" s="1"/>
  <c r="K51" i="1"/>
  <c r="J51" i="1" a="1"/>
  <c r="J51" i="1" s="1"/>
  <c r="I51" i="1" a="1"/>
  <c r="I51" i="1"/>
  <c r="H51" i="1" a="1"/>
  <c r="H51" i="1"/>
  <c r="K50" i="1"/>
  <c r="J50" i="1" a="1"/>
  <c r="J50" i="1" s="1"/>
  <c r="I50" i="1" a="1"/>
  <c r="I50" i="1" s="1"/>
  <c r="H50" i="1" a="1"/>
  <c r="H50" i="1" s="1"/>
  <c r="K49" i="1"/>
  <c r="J49" i="1" a="1"/>
  <c r="J49" i="1" s="1"/>
  <c r="I49" i="1" a="1"/>
  <c r="I49" i="1" s="1"/>
  <c r="H49" i="1" a="1"/>
  <c r="H49" i="1" s="1"/>
  <c r="K48" i="1"/>
  <c r="J48" i="1" a="1"/>
  <c r="J48" i="1" s="1"/>
  <c r="I48" i="1" a="1"/>
  <c r="I48" i="1" s="1"/>
  <c r="H48" i="1" a="1"/>
  <c r="H48" i="1" s="1"/>
  <c r="K47" i="1"/>
  <c r="J47" i="1" a="1"/>
  <c r="J47" i="1" s="1"/>
  <c r="I47" i="1" a="1"/>
  <c r="I47" i="1" s="1"/>
  <c r="H47" i="1" a="1"/>
  <c r="H47" i="1" s="1"/>
  <c r="K46" i="1"/>
  <c r="J46" i="1" a="1"/>
  <c r="J46" i="1" s="1"/>
  <c r="I46" i="1" a="1"/>
  <c r="I46" i="1" s="1"/>
  <c r="H46" i="1" a="1"/>
  <c r="H46" i="1" s="1"/>
  <c r="K45" i="1"/>
  <c r="J45" i="1" a="1"/>
  <c r="J45" i="1" s="1"/>
  <c r="I45" i="1" a="1"/>
  <c r="I45" i="1" s="1"/>
  <c r="H45" i="1" a="1"/>
  <c r="H45" i="1" s="1"/>
  <c r="K44" i="1"/>
  <c r="J44" i="1" a="1"/>
  <c r="J44" i="1" s="1"/>
  <c r="I44" i="1" a="1"/>
  <c r="I44" i="1" s="1"/>
  <c r="H44" i="1" a="1"/>
  <c r="H44" i="1" s="1"/>
  <c r="K43" i="1"/>
  <c r="J43" i="1" a="1"/>
  <c r="J43" i="1" s="1"/>
  <c r="I43" i="1" a="1"/>
  <c r="I43" i="1" s="1"/>
  <c r="H43" i="1" a="1"/>
  <c r="H43" i="1" s="1"/>
  <c r="K42" i="1"/>
  <c r="J42" i="1" a="1"/>
  <c r="J42" i="1" s="1"/>
  <c r="I42" i="1" a="1"/>
  <c r="I42" i="1" s="1"/>
  <c r="H42" i="1" a="1"/>
  <c r="H42" i="1" s="1"/>
  <c r="K41" i="1"/>
  <c r="J41" i="1" a="1"/>
  <c r="J41" i="1" s="1"/>
  <c r="I41" i="1" a="1"/>
  <c r="I41" i="1" s="1"/>
  <c r="H41" i="1" a="1"/>
  <c r="H41" i="1" s="1"/>
  <c r="K40" i="1"/>
  <c r="J40" i="1" a="1"/>
  <c r="J40" i="1" s="1"/>
  <c r="I40" i="1" a="1"/>
  <c r="I40" i="1" s="1"/>
  <c r="H40" i="1" a="1"/>
  <c r="H40" i="1" s="1"/>
  <c r="K39" i="1"/>
  <c r="J39" i="1" a="1"/>
  <c r="J39" i="1" s="1"/>
  <c r="I39" i="1" a="1"/>
  <c r="I39" i="1" s="1"/>
  <c r="H39" i="1" a="1"/>
  <c r="H39" i="1" s="1"/>
  <c r="K38" i="1"/>
  <c r="J38" i="1" a="1"/>
  <c r="J38" i="1" s="1"/>
  <c r="I38" i="1" a="1"/>
  <c r="I38" i="1" s="1"/>
  <c r="H38" i="1" a="1"/>
  <c r="H38" i="1" s="1"/>
  <c r="K37" i="1"/>
  <c r="J37" i="1" a="1"/>
  <c r="J37" i="1" s="1"/>
  <c r="I37" i="1" a="1"/>
  <c r="I37" i="1" s="1"/>
  <c r="H37" i="1" a="1"/>
  <c r="H37" i="1"/>
  <c r="K36" i="1"/>
  <c r="J36" i="1" a="1"/>
  <c r="J36" i="1" s="1"/>
  <c r="I36" i="1" a="1"/>
  <c r="I36" i="1"/>
  <c r="H36" i="1" a="1"/>
  <c r="H36" i="1"/>
  <c r="K35" i="1"/>
  <c r="J35" i="1" a="1"/>
  <c r="J35" i="1"/>
  <c r="I35" i="1" a="1"/>
  <c r="I35" i="1"/>
  <c r="H35" i="1" a="1"/>
  <c r="H35" i="1"/>
  <c r="K34" i="1"/>
  <c r="J34" i="1" a="1"/>
  <c r="J34" i="1" s="1"/>
  <c r="I34" i="1" a="1"/>
  <c r="I34" i="1"/>
  <c r="H34" i="1" a="1"/>
  <c r="H34" i="1" s="1"/>
  <c r="K33" i="1"/>
  <c r="J33" i="1" a="1"/>
  <c r="J33" i="1" s="1"/>
  <c r="I33" i="1" a="1"/>
  <c r="I33" i="1" s="1"/>
  <c r="H33" i="1" a="1"/>
  <c r="H33" i="1" s="1"/>
  <c r="K32" i="1"/>
  <c r="J32" i="1" a="1"/>
  <c r="J32" i="1" s="1"/>
  <c r="I32" i="1" a="1"/>
  <c r="I32" i="1" s="1"/>
  <c r="H32" i="1" a="1"/>
  <c r="H32" i="1" s="1"/>
  <c r="K31" i="1"/>
  <c r="J31" i="1" a="1"/>
  <c r="J31" i="1" s="1"/>
  <c r="I31" i="1" a="1"/>
  <c r="I31" i="1" s="1"/>
  <c r="H31" i="1" a="1"/>
  <c r="H31" i="1" s="1"/>
  <c r="K30" i="1"/>
  <c r="J30" i="1" a="1"/>
  <c r="J30" i="1" s="1"/>
  <c r="I30" i="1" a="1"/>
  <c r="I30" i="1" s="1"/>
  <c r="H30" i="1" a="1"/>
  <c r="H30" i="1"/>
  <c r="K29" i="1"/>
  <c r="J29" i="1" a="1"/>
  <c r="J29" i="1" s="1"/>
  <c r="I29" i="1" a="1"/>
  <c r="I29" i="1" s="1"/>
  <c r="H29" i="1" a="1"/>
  <c r="H29" i="1"/>
  <c r="K28" i="1"/>
  <c r="J28" i="1" a="1"/>
  <c r="J28" i="1" s="1"/>
  <c r="I28" i="1" a="1"/>
  <c r="I28" i="1" s="1"/>
  <c r="H28" i="1" a="1"/>
  <c r="H28" i="1"/>
  <c r="K27" i="1"/>
  <c r="J27" i="1" a="1"/>
  <c r="J27" i="1" s="1"/>
  <c r="I27" i="1" a="1"/>
  <c r="I27" i="1" s="1"/>
  <c r="H27" i="1" a="1"/>
  <c r="H27" i="1"/>
  <c r="K26" i="1"/>
  <c r="J26" i="1" a="1"/>
  <c r="J26" i="1" s="1"/>
  <c r="I26" i="1" a="1"/>
  <c r="I26" i="1" s="1"/>
  <c r="H26" i="1" a="1"/>
  <c r="H26" i="1"/>
  <c r="K25" i="1"/>
  <c r="J25" i="1" a="1"/>
  <c r="J25" i="1" s="1"/>
  <c r="I25" i="1" a="1"/>
  <c r="I25" i="1" s="1"/>
  <c r="H25" i="1" a="1"/>
  <c r="H25" i="1"/>
  <c r="K24" i="1"/>
  <c r="J24" i="1" a="1"/>
  <c r="J24" i="1" s="1"/>
  <c r="I24" i="1" a="1"/>
  <c r="I24" i="1" s="1"/>
  <c r="H24" i="1" a="1"/>
  <c r="H24" i="1"/>
  <c r="K23" i="1"/>
  <c r="J23" i="1" a="1"/>
  <c r="J23" i="1" s="1"/>
  <c r="I23" i="1" a="1"/>
  <c r="I23" i="1" s="1"/>
  <c r="H23" i="1" a="1"/>
  <c r="H23" i="1"/>
  <c r="K22" i="1"/>
  <c r="J22" i="1" a="1"/>
  <c r="J22" i="1" s="1"/>
  <c r="I22" i="1" a="1"/>
  <c r="I22" i="1" s="1"/>
  <c r="H22" i="1" a="1"/>
  <c r="H22" i="1"/>
  <c r="K21" i="1"/>
  <c r="J21" i="1" a="1"/>
  <c r="J21" i="1" s="1"/>
  <c r="I21" i="1" a="1"/>
  <c r="I21" i="1" s="1"/>
  <c r="H21" i="1" a="1"/>
  <c r="H21" i="1"/>
  <c r="K20" i="1"/>
  <c r="J20" i="1" a="1"/>
  <c r="J20" i="1" s="1"/>
  <c r="I20" i="1" a="1"/>
  <c r="I20" i="1" s="1"/>
  <c r="H20" i="1" a="1"/>
  <c r="H20" i="1"/>
  <c r="K19" i="1"/>
  <c r="J19" i="1" a="1"/>
  <c r="J19" i="1" s="1"/>
  <c r="I19" i="1" a="1"/>
  <c r="I19" i="1" s="1"/>
  <c r="H19" i="1" a="1"/>
  <c r="H19" i="1"/>
  <c r="K18" i="1"/>
  <c r="J18" i="1" a="1"/>
  <c r="J18" i="1" s="1"/>
  <c r="I18" i="1" a="1"/>
  <c r="I18" i="1" s="1"/>
  <c r="H18" i="1" a="1"/>
  <c r="H18" i="1"/>
  <c r="K17" i="1"/>
  <c r="J17" i="1" a="1"/>
  <c r="J17" i="1" s="1"/>
  <c r="I17" i="1" a="1"/>
  <c r="I17" i="1" s="1"/>
  <c r="H17" i="1" a="1"/>
  <c r="H17" i="1"/>
  <c r="K16" i="1"/>
  <c r="J16" i="1" a="1"/>
  <c r="J16" i="1" s="1"/>
  <c r="I16" i="1" a="1"/>
  <c r="I16" i="1" s="1"/>
  <c r="H16" i="1" a="1"/>
  <c r="H16" i="1"/>
  <c r="K15" i="1"/>
  <c r="J15" i="1" a="1"/>
  <c r="J15" i="1" s="1"/>
  <c r="I15" i="1" a="1"/>
  <c r="I15" i="1"/>
  <c r="H15" i="1" a="1"/>
  <c r="H15" i="1"/>
  <c r="K14" i="1"/>
  <c r="J14" i="1" a="1"/>
  <c r="J14" i="1" s="1"/>
  <c r="I14" i="1" a="1"/>
  <c r="I14" i="1"/>
  <c r="H14" i="1" a="1"/>
  <c r="H14" i="1" s="1"/>
  <c r="K13" i="1"/>
  <c r="J13" i="1" a="1"/>
  <c r="J13" i="1" s="1"/>
  <c r="I13" i="1" a="1"/>
  <c r="I13" i="1" s="1"/>
  <c r="H13" i="1" a="1"/>
  <c r="H13" i="1" s="1"/>
  <c r="K12" i="1"/>
  <c r="J12" i="1" a="1"/>
  <c r="J12" i="1" s="1"/>
  <c r="I12" i="1" a="1"/>
  <c r="I12" i="1" s="1"/>
  <c r="H12" i="1" a="1"/>
  <c r="H12" i="1" s="1"/>
  <c r="K11" i="1"/>
  <c r="J11" i="1" a="1"/>
  <c r="J11" i="1" s="1"/>
  <c r="I11" i="1" a="1"/>
  <c r="I11" i="1" s="1"/>
  <c r="H11" i="1" a="1"/>
  <c r="H11" i="1" s="1"/>
  <c r="K10" i="1"/>
  <c r="J10" i="1" a="1"/>
  <c r="J10" i="1" s="1"/>
  <c r="I10" i="1" a="1"/>
  <c r="I10" i="1" s="1"/>
  <c r="H10" i="1" a="1"/>
  <c r="H10" i="1" s="1"/>
  <c r="K9" i="1"/>
  <c r="J9" i="1" a="1"/>
  <c r="J9" i="1" s="1"/>
  <c r="I9" i="1" a="1"/>
  <c r="I9" i="1" s="1"/>
  <c r="H9" i="1" a="1"/>
  <c r="H9" i="1" s="1"/>
  <c r="K8" i="1"/>
  <c r="J8" i="1" a="1"/>
  <c r="J8" i="1" s="1"/>
  <c r="I8" i="1" a="1"/>
  <c r="I8" i="1"/>
  <c r="H8" i="1" a="1"/>
  <c r="H8" i="1"/>
  <c r="K7" i="1"/>
  <c r="J7" i="1" a="1"/>
  <c r="J7" i="1" s="1"/>
  <c r="I7" i="1" a="1"/>
  <c r="I7" i="1"/>
  <c r="H7" i="1" a="1"/>
  <c r="H7" i="1"/>
  <c r="K6" i="1"/>
  <c r="J6" i="1" a="1"/>
  <c r="J6" i="1" s="1"/>
  <c r="I6" i="1" a="1"/>
  <c r="I6" i="1"/>
  <c r="H6" i="1" a="1"/>
  <c r="H6" i="1"/>
  <c r="A2" i="1"/>
  <c r="G69" i="2"/>
  <c r="F69" i="2"/>
  <c r="E69" i="2"/>
  <c r="G68" i="2"/>
  <c r="F68" i="2"/>
  <c r="E68" i="2"/>
  <c r="G67" i="2"/>
  <c r="F67" i="2"/>
  <c r="E67" i="2"/>
  <c r="G66" i="2"/>
  <c r="F66" i="2"/>
  <c r="E66" i="2"/>
  <c r="G65" i="2"/>
  <c r="F65" i="2"/>
  <c r="E65" i="2"/>
  <c r="G60" i="2"/>
  <c r="F60" i="2"/>
  <c r="E60" i="2"/>
  <c r="G59" i="2"/>
  <c r="F59" i="2"/>
  <c r="E59" i="2"/>
  <c r="G58" i="2"/>
  <c r="F58" i="2"/>
  <c r="E58" i="2"/>
  <c r="G57" i="2"/>
  <c r="F57" i="2"/>
  <c r="E57" i="2"/>
  <c r="G56" i="2"/>
  <c r="F56" i="2"/>
  <c r="E56" i="2"/>
  <c r="G55" i="2"/>
  <c r="F55" i="2"/>
  <c r="E55" i="2"/>
  <c r="G54" i="2"/>
  <c r="F54" i="2"/>
  <c r="E54" i="2"/>
  <c r="G53" i="2"/>
  <c r="F53" i="2"/>
  <c r="E53" i="2"/>
  <c r="G52" i="2"/>
  <c r="F52" i="2"/>
  <c r="E52" i="2"/>
  <c r="G51" i="2"/>
  <c r="F51" i="2"/>
  <c r="E51" i="2"/>
  <c r="G50" i="2"/>
  <c r="F50" i="2"/>
  <c r="E50" i="2"/>
  <c r="G49" i="2"/>
  <c r="F49" i="2"/>
  <c r="E49" i="2"/>
  <c r="G48" i="2"/>
  <c r="F48" i="2"/>
  <c r="E48" i="2"/>
  <c r="G47" i="2"/>
  <c r="F47" i="2"/>
  <c r="E47" i="2"/>
  <c r="G46" i="2"/>
  <c r="F46" i="2"/>
  <c r="E46" i="2"/>
  <c r="G45" i="2"/>
  <c r="F45" i="2"/>
  <c r="E45" i="2"/>
  <c r="G44" i="2"/>
  <c r="F44" i="2"/>
  <c r="E44" i="2"/>
  <c r="G43" i="2"/>
  <c r="F43" i="2"/>
  <c r="E43" i="2"/>
  <c r="G42" i="2"/>
  <c r="F42" i="2"/>
  <c r="E42" i="2"/>
  <c r="G41" i="2"/>
  <c r="F41" i="2"/>
  <c r="E41" i="2"/>
  <c r="G40" i="2"/>
  <c r="F40" i="2"/>
  <c r="E40" i="2"/>
  <c r="G39" i="2"/>
  <c r="F39" i="2"/>
  <c r="E39" i="2"/>
  <c r="G38" i="2"/>
  <c r="F38" i="2"/>
  <c r="E38" i="2"/>
  <c r="G37" i="2"/>
  <c r="F37" i="2"/>
  <c r="E37" i="2"/>
  <c r="G36" i="2"/>
  <c r="F36" i="2"/>
  <c r="E36" i="2"/>
  <c r="G35" i="2"/>
  <c r="F35" i="2"/>
  <c r="E35" i="2"/>
  <c r="G34" i="2"/>
  <c r="F34" i="2"/>
  <c r="E34" i="2"/>
  <c r="G33" i="2"/>
  <c r="F33" i="2"/>
  <c r="E33" i="2"/>
  <c r="G32" i="2"/>
  <c r="F32" i="2"/>
  <c r="E32" i="2"/>
  <c r="G31" i="2"/>
  <c r="F31" i="2"/>
  <c r="E31" i="2"/>
  <c r="G30" i="2"/>
  <c r="F30" i="2"/>
  <c r="E30" i="2"/>
  <c r="G29" i="2"/>
  <c r="F29" i="2"/>
  <c r="E29" i="2"/>
  <c r="G28" i="2"/>
  <c r="F28" i="2"/>
  <c r="E28" i="2"/>
  <c r="G27" i="2"/>
  <c r="F27" i="2"/>
  <c r="E27" i="2"/>
  <c r="G26" i="2"/>
  <c r="F26" i="2"/>
  <c r="E26" i="2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G20" i="2"/>
  <c r="F20" i="2"/>
  <c r="E20" i="2"/>
  <c r="G19" i="2"/>
  <c r="F19" i="2"/>
  <c r="E19" i="2"/>
  <c r="G18" i="2"/>
  <c r="F18" i="2"/>
  <c r="E18" i="2"/>
  <c r="G17" i="2"/>
  <c r="F17" i="2"/>
  <c r="E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A2" i="2"/>
</calcChain>
</file>

<file path=xl/sharedStrings.xml><?xml version="1.0" encoding="utf-8"?>
<sst xmlns="http://schemas.openxmlformats.org/spreadsheetml/2006/main" count="655" uniqueCount="279">
  <si>
    <t>공통</t>
  </si>
  <si>
    <t>메뉴명</t>
  </si>
  <si>
    <t>탭 명</t>
  </si>
  <si>
    <t>기능</t>
  </si>
  <si>
    <t>테스트ID</t>
  </si>
  <si>
    <t>CASE</t>
  </si>
  <si>
    <t>STEP</t>
  </si>
  <si>
    <t>테스트 예상 결과</t>
  </si>
  <si>
    <t>QA</t>
  </si>
  <si>
    <t>QA결과 
(정상/오류)</t>
  </si>
  <si>
    <t>QA내용</t>
  </si>
  <si>
    <t>QA날짜</t>
  </si>
  <si>
    <t>첨부파일</t>
  </si>
  <si>
    <t>Dev</t>
  </si>
  <si>
    <t>조치결과
(완료/불가/보류)</t>
  </si>
  <si>
    <t>조치내용</t>
  </si>
  <si>
    <t>조치날짜</t>
  </si>
  <si>
    <t>결재요청_AZ303</t>
  </si>
  <si>
    <t>결재요청</t>
  </si>
  <si>
    <t>조회</t>
  </si>
  <si>
    <t>AZ303_TC_001</t>
  </si>
  <si>
    <t>최신영</t>
  </si>
  <si>
    <t>정상</t>
  </si>
  <si>
    <t>AZ303_TC_002</t>
  </si>
  <si>
    <t>[개선] [oracle·mssql] 사원 Lov 는 결재요청 팝업 안에 다 보임. 다만 결재자 칸을 누르면 뜨는 사원 자동완성 목록(폭 약 87px, 글자 줄바꿈)이 사원 Lov 를 연 뒤에도 Lov 위에 남아 행을 가림.</t>
  </si>
  <si>
    <t>az303-TC_002-autocomplete.png</t>
  </si>
  <si>
    <t>필수값</t>
  </si>
  <si>
    <t>AZ303_TC_003</t>
  </si>
  <si>
    <t>저장</t>
  </si>
  <si>
    <t>AZ303_TC_004</t>
  </si>
  <si>
    <t>AZ303_TC_005</t>
  </si>
  <si>
    <t>AZ303_TC_006</t>
  </si>
  <si>
    <t>Setting</t>
  </si>
  <si>
    <t>AZ303_TC_007</t>
  </si>
  <si>
    <t>결재자 목록</t>
  </si>
  <si>
    <t>AZ303_TC_008</t>
  </si>
  <si>
    <t>AZ303_TC_009</t>
  </si>
  <si>
    <t>수정</t>
  </si>
  <si>
    <t>AZ303_TC_010</t>
  </si>
  <si>
    <t>AZ303_TC_011</t>
  </si>
  <si>
    <t>AZ303_TC_012</t>
  </si>
  <si>
    <t>AZ303_TC_013</t>
  </si>
  <si>
    <t>기본결재자</t>
  </si>
  <si>
    <t>AZ303_TC_014</t>
  </si>
  <si>
    <t>AZ303_TC_015</t>
  </si>
  <si>
    <t>Excel</t>
  </si>
  <si>
    <t>AZ303_TC_016</t>
  </si>
  <si>
    <t>AZ303_TC_017</t>
  </si>
  <si>
    <t>결재선</t>
  </si>
  <si>
    <t>AZ303_TC_018</t>
  </si>
  <si>
    <t>AZ303_TC_019</t>
  </si>
  <si>
    <t>승인요청</t>
  </si>
  <si>
    <t>AZ303_TC_020</t>
  </si>
  <si>
    <t>AZ303_TC_021</t>
  </si>
  <si>
    <t>AZ303_TC_022</t>
  </si>
  <si>
    <t>AZ303_TC_023</t>
  </si>
  <si>
    <t>AZ303_TC_024</t>
  </si>
  <si>
    <t>AZ303_TC_025</t>
  </si>
  <si>
    <t>작업관리 &gt; 수리작업 &gt; 수리작업실행</t>
  </si>
  <si>
    <t>AZ303_TC_026</t>
  </si>
  <si>
    <t>작업관리 &gt; 수리작업 &gt; 중요고장발생보고</t>
  </si>
  <si>
    <t>AZ303_TC_027</t>
  </si>
  <si>
    <t>요청관리 &gt; 수리요청</t>
  </si>
  <si>
    <t>AZ303_TC_028</t>
  </si>
  <si>
    <t>부품관리 &gt; 부품구매신청</t>
  </si>
  <si>
    <t>AZ303_TC_029</t>
  </si>
  <si>
    <t>부품관리 &gt; 부품재고실사</t>
  </si>
  <si>
    <t>AZ303_TC_030</t>
  </si>
  <si>
    <t>작업관리 &gt; 정기수리작업 &gt; 정기수리계획</t>
  </si>
  <si>
    <t>AZ303_TC_031</t>
  </si>
  <si>
    <t>[개선] [oracle·mssql] 정기수리계획 기존 작업 상세 [승인요청] → 결재대기·요청내역의 요청타입이 "작업결과"로 표시됨 (결재·결재완료는 정상).
→ 명칭을 "작업계획서"로 (2026-10-28 사용자: 명칭만 바꾸면 되어 개선)</t>
  </si>
  <si>
    <t>az303-WOPLAN-type.png</t>
  </si>
  <si>
    <t>작업관리 &gt; 일상점검작업 &gt; 일상점검계획승인</t>
  </si>
  <si>
    <t>AZ303_TC_032</t>
  </si>
  <si>
    <t>일일업무 &gt; 일일업무일지</t>
  </si>
  <si>
    <t>AZ303_TC_033</t>
  </si>
  <si>
    <t>부품관리 &gt; 부품외주수리</t>
  </si>
  <si>
    <t>AZ303_TC_034</t>
  </si>
  <si>
    <t>설비자산 &gt; 설비</t>
  </si>
  <si>
    <t>AZ303_TC_035</t>
  </si>
  <si>
    <t>설비자산 &gt; 계측기</t>
  </si>
  <si>
    <t>AZ303_TC_036</t>
  </si>
  <si>
    <t>오류</t>
  </si>
  <si>
    <t>az303-EQTLREV-1-popup.png, az303-EQTLREV-2-after-save.png</t>
  </si>
  <si>
    <t>작업관리 &gt; 점검Group &gt; 점검Group실행</t>
  </si>
  <si>
    <t>AZ303_TC_037</t>
  </si>
  <si>
    <t>작업관리 &gt; 정기점검작업 &gt; 정기점검주기</t>
  </si>
  <si>
    <t>AZ303_TC_038</t>
  </si>
  <si>
    <t>작업관리 &gt; 공사작업 &gt; 공사계획</t>
  </si>
  <si>
    <t>AZ303_TC_039</t>
  </si>
  <si>
    <t>작업관리 &gt; 로그시트 &gt; 로그시트등록</t>
  </si>
  <si>
    <t>AZ303_TC_040</t>
  </si>
  <si>
    <t>작업관리 &gt; 수리작업 &gt; 수리작업일괄승인</t>
  </si>
  <si>
    <t>AZ303_TC_041</t>
  </si>
  <si>
    <t>작업관리 &gt; 순회점검작업 &gt; 순회점검실행</t>
  </si>
  <si>
    <t>AZ303_TC_042</t>
  </si>
  <si>
    <t>일일업무 &gt; 일일작업승인</t>
  </si>
  <si>
    <t>AZ303_TC_043</t>
  </si>
  <si>
    <t>설비도입 &gt; 도입목록</t>
  </si>
  <si>
    <t>AZ303_TC_044</t>
  </si>
  <si>
    <t>작업관리 &gt; 정기점검작업 &gt; 정기점검계획승인</t>
  </si>
  <si>
    <t>AZ303_TC_045</t>
  </si>
  <si>
    <t>작업관리 &gt; 정기수리작업 &gt; 정기수리계획승인</t>
  </si>
  <si>
    <t>AZ303_TC_046</t>
  </si>
  <si>
    <t>작업관리 &gt; 정기점검작업 &gt; 정기점검실행</t>
  </si>
  <si>
    <t>AZ303_TC_047</t>
  </si>
  <si>
    <t>변경관리 &gt; 변경요청</t>
  </si>
  <si>
    <t>AZ303_TC_048</t>
  </si>
  <si>
    <t>변경관리 &gt; 변경접수</t>
  </si>
  <si>
    <t>AZ303_TC_049</t>
  </si>
  <si>
    <t>변경관리 &gt; 변경위원회</t>
  </si>
  <si>
    <t>AZ303_TC_050</t>
  </si>
  <si>
    <t>변경관리 &gt; 변경작업</t>
  </si>
  <si>
    <t>AZ303_TC_051</t>
  </si>
  <si>
    <t>작업관리 &gt; 특별점검 &gt; 특별점검완료승인</t>
  </si>
  <si>
    <t>AZ303_TC_052</t>
  </si>
  <si>
    <t>AZ303_TC_053</t>
  </si>
  <si>
    <t>AZ303_TC_054</t>
  </si>
  <si>
    <t>AZ303_TC_055</t>
  </si>
  <si>
    <t>엣지케이스</t>
  </si>
  <si>
    <t>길이</t>
  </si>
  <si>
    <t>AZ303_EC_001</t>
  </si>
  <si>
    <t>AZ303_EC_002</t>
  </si>
  <si>
    <t>AZ303_EC_003</t>
  </si>
  <si>
    <t>AZ303_EC_004</t>
  </si>
  <si>
    <t>AZ303_EC_005</t>
  </si>
  <si>
    <t>H,I,J,K 행 수식 수정 금지</t>
  </si>
  <si>
    <t>결재요청 팝업을 연다.</t>
  </si>
  <si>
    <t>일일업무일지 [sychoi] 문서 상세 [승인요청] 클릭</t>
  </si>
  <si>
    <t>"결재요청" 팝업이 열리고 신청자 = 로그인 사용자, 기안일자 = 오늘(둘 다 읽기전용), 제목 = 문서 제목이 들어 있음</t>
  </si>
  <si>
    <t>팝업 크기를 확인한다.</t>
  </si>
  <si>
    <t>결재자 칸 돋보기(사원 Lov)를 연다</t>
  </si>
  <si>
    <t>사원 Lov 가 결재요청 팝업 안에 다 보임 (변경내용 2023.11.04 #1)</t>
  </si>
  <si>
    <t>제목 필수값을 확인한다.</t>
  </si>
  <si>
    <t>제목을 지우고 [승인요청]</t>
  </si>
  <si>
    <t>필수값 안내가 뜨고 요청되지 않음</t>
  </si>
  <si>
    <t>상세 [저장]으로 제목을 저장한다.</t>
  </si>
  <si>
    <t>제목 수정 → [저장] → 팝업을 닫고 다시 연다</t>
  </si>
  <si>
    <t>바뀐 제목이 그대로 있음</t>
  </si>
  <si>
    <t>저장 시 신청자를 본인으로 갱신한다.</t>
  </si>
  <si>
    <t>[저장] 후 다시 연다</t>
  </si>
  <si>
    <t>신청자 = 로그인 사용자 (변경내용 2022.05.17)</t>
  </si>
  <si>
    <t>다른 계정이 저장한 건을 내가 요청하면 신청자가 나로 바뀐다.</t>
  </si>
  <si>
    <t>A 계정으로 결재자 저장 → B 계정으로 [승인요청]</t>
  </si>
  <si>
    <t>신청자 = B (변경내용 2022.05.17)</t>
  </si>
  <si>
    <t>상세 Setting(Field 설정)을 확인한다.</t>
  </si>
  <si>
    <t>상세 [Setting] → Field 설정</t>
  </si>
  <si>
    <t>신청자·기안일자·제목 항목이 보이고, Display N 으로 바꾸면 화면에서 사라지고 원복하면 다시 보임</t>
  </si>
  <si>
    <t>결재라인을 승인Flow설정대로 불러온다.</t>
  </si>
  <si>
    <t>팝업 결재자 목록과 [운영기준설정 &gt; 승인Flow설정] 일일업무일지 승인순서 비교</t>
  </si>
  <si>
    <t>결재순서·필수결재자?·결재라인·결재라인명이 승인Flow설정 승인순서와 같음</t>
  </si>
  <si>
    <t>목록 항목을 설계서와 비교한다.</t>
  </si>
  <si>
    <t>결재자 목록 머리글 확인</t>
  </si>
  <si>
    <t>결재순서, 필수결재자?, 결재라인, 결재구분, 결재라인명, 결재자1~5, 부서1~5 가 이 순서로 보임</t>
  </si>
  <si>
    <t>목록은 결재자 칸만 편집된다.</t>
  </si>
  <si>
    <t>결재자1~5 칸과 그 외 칸(결재순서, 결재라인명, 부서1)을 더블클릭</t>
  </si>
  <si>
    <t>결재자1~5 만 편집 칸이 열리고 나머지는 열리지 않음</t>
  </si>
  <si>
    <t>결재자를 지정한다.</t>
  </si>
  <si>
    <t>결재자1 칸 돋보기 → 사원 Lov 에서 최신영 선택</t>
  </si>
  <si>
    <t>결재자1 = 최신영, 부서1 = 사원의 부서/직급 이 들어감</t>
  </si>
  <si>
    <t>목록 [저장]으로 결재자를 저장한다.</t>
  </si>
  <si>
    <t>결재자 지정 → 목록 [저장] → 팝업을 닫고 다시 연다</t>
  </si>
  <si>
    <t>지정한 결재자가 그대로 있음</t>
  </si>
  <si>
    <t>결재자를 지우고 저장한다.</t>
  </si>
  <si>
    <t>결재자1 칸을 비우고 목록 [저장] → 다시 연다</t>
  </si>
  <si>
    <t>결재자1 이 비어 있음</t>
  </si>
  <si>
    <t>[기본 결재자로 저장] 한다.</t>
  </si>
  <si>
    <t>결재자 지정 → [기본 결재자로 저장] → [개인설정 &gt; 기본결재자설정] 일일업무일지 확인</t>
  </si>
  <si>
    <t>기본결재자설정에 지정한 결재자가 저장됨 (확인 후 원래대로 되돌림)</t>
  </si>
  <si>
    <t>기본결재자를 기본값으로 불러온다.</t>
  </si>
  <si>
    <t>기본결재자가 있는 상태에서 새 문서로 [승인요청]</t>
  </si>
  <si>
    <t>결재자 칸에 기본결재자가 미리 들어 있음</t>
  </si>
  <si>
    <t>결재자 목록을 Excel 로 받는다.</t>
  </si>
  <si>
    <t>목록 [Excel]</t>
  </si>
  <si>
    <t>엑셀 파일이 내려받아짐</t>
  </si>
  <si>
    <t>목록 Setting 을 확인한다.</t>
  </si>
  <si>
    <t>목록 [Setting] → 칼럼 Display N → 확인 → 원복</t>
  </si>
  <si>
    <t>칼럼이 사라졌다가 원복하면 다시 보임</t>
  </si>
  <si>
    <t>결재선변경가능 여부에 따라 결재자 추가·삭제가 된다.</t>
  </si>
  <si>
    <t>승인Flow 결재선변경가능 Y / N 인 업무에서 팝업 확인</t>
  </si>
  <si>
    <t>Y 면 결재자 추가·삭제 가능, N 이면 불가 (변경내용 2023.11.04 #4)</t>
  </si>
  <si>
    <t>결재선(AN110) 같은 업무구분 값을 결재자로 불러온다.</t>
  </si>
  <si>
    <t>AN110 결재선에 같은 업무구분을 등록한 뒤 [승인요청]</t>
  </si>
  <si>
    <t>결재선의 결재자1~5 가 결재자 칸에 들어감 (변경내용 2023.11.04 #2)</t>
  </si>
  <si>
    <t>필수결재자 Y 단계에 결재자가 없으면 요청되지 않는다.</t>
  </si>
  <si>
    <t>필수결재자 Y 인 단계의 결재자1 을 비우고 [승인요청]</t>
  </si>
  <si>
    <t>안내가 뜨고 요청되지 않음</t>
  </si>
  <si>
    <t>필수결재자 N 단계에 결재자가 없으면 결재선에서 빠진다.</t>
  </si>
  <si>
    <t>필수결재자 N 단계는 비우고, Y 단계만 최신영 → [승인요청] → 문서 결재자목록 탭</t>
  </si>
  <si>
    <t>요청되고, 결재자목록에 비운 단계가 없음</t>
  </si>
  <si>
    <t>승인요청 한다.</t>
  </si>
  <si>
    <t>결재자 최신영 → [승인요청] → OK</t>
  </si>
  <si>
    <t>"결재요청 되었습니다" 안내 후 팝업이 닫히고 문서 상태 = 결재요청</t>
  </si>
  <si>
    <t>요청 시 신청자·기안일자를 갱신한다.</t>
  </si>
  <si>
    <t>요청 후 [개인설정 &gt; 결재요청내역]과 문서 결재자목록 탭</t>
  </si>
  <si>
    <t>결재요청내역에 요청일자 = 오늘로 보이고, 결재자목록 기안자 = 로그인 사용자</t>
  </si>
  <si>
    <t>요청 후 화면 상태조건을 적용한다.</t>
  </si>
  <si>
    <t>요청한 문서 상세를 다시 연다</t>
  </si>
  <si>
    <t>[승인요청]·[저장] 버튼이 보이지 않음</t>
  </si>
  <si>
    <t>요청한 건을 결재한다.</t>
  </si>
  <si>
    <t>[개인설정 &gt; 결재대기] → 체크 → [결재처리] → [승인] (단계마다)</t>
  </si>
  <si>
    <t>결재요청내역 요청상태 = 결재완료, 결재이력에 보임, 문서 상태 = 승인완료</t>
  </si>
  <si>
    <t>작업결과(WORKORDER) 결재요청을 한다.</t>
  </si>
  <si>
    <t>[sychoi] 데이터 상세 [승인요청] → 결재자 최신영 → [승인요청] → 결재대기에서 승인</t>
  </si>
  <si>
    <t>결재라인이 승인Flow설정(작업결과)과 같고, 요청 후 문서 상태 = 결재요청, 결재요청내역 요청타입 = 작업결과, 승인하면 결재완료</t>
  </si>
  <si>
    <t>고장영향성평가(WORKFMEA) 결재요청을 한다.</t>
  </si>
  <si>
    <t>결재라인이 승인Flow설정(고장영향성평가)과 같고, 요청 후 문서 상태 = 결재요청, 결재요청내역 요청타입 = 고장영향성평가, 승인하면 결재완료</t>
  </si>
  <si>
    <t>작업요청(REQWORK) 결재요청을 한다.</t>
  </si>
  <si>
    <t>결재라인이 승인Flow설정(작업요청)과 같고, 요청 후 문서 상태 = 결재요청, 결재요청내역 요청타입 = 작업요청, 승인하면 결재완료</t>
  </si>
  <si>
    <t>구매요청(PTBUYREQ) 결재요청을 한다.</t>
  </si>
  <si>
    <t>결재라인이 승인Flow설정(구매요청)과 같고, 요청 후 문서 상태 = 결재요청, 결재요청내역 요청타입 = 구매요청, 승인하면 결재완료</t>
  </si>
  <si>
    <t>부품실사(PTSTKTAKE) 결재요청을 한다.</t>
  </si>
  <si>
    <t>결재라인이 승인Flow설정(부품실사)과 같고, 요청 후 문서 상태 = 결재요청, 결재요청내역 요청타입 = 부품실사, 승인하면 결재완료</t>
  </si>
  <si>
    <t>작업계획서(WOPLAN) 결재요청을 한다.</t>
  </si>
  <si>
    <t>결재라인이 승인Flow설정(작업계획서)과 같고, 요청 후 문서 상태 = 결재요청, 결재요청내역 요청타입 = 작업계획서, 승인하면 결재완료</t>
  </si>
  <si>
    <t>일상점검계획승인(PMINSDSCHED) 결재요청을 한다.</t>
  </si>
  <si>
    <t>결재라인이 승인Flow설정(일상점검계획승인)과 같고, 요청 후 문서 상태 = 결재요청, 결재요청내역 요청타입 = 일상점검계획승인, 승인하면 결재완료</t>
  </si>
  <si>
    <t>일일업무일지(WRKDAYRPT) 결재요청을 한다.</t>
  </si>
  <si>
    <t>결재라인이 승인Flow설정(일일업무일지)과 같고, 요청 후 문서 상태 = 결재요청, 결재요청내역 요청타입 = 일일업무일지, 승인하면 결재완료</t>
  </si>
  <si>
    <t>부품수리(PTREPAIR) 결재요청을 한다.</t>
  </si>
  <si>
    <t>결재라인이 승인Flow설정(부품수리)과 같고, 요청 후 문서 상태 = 결재요청, 결재요청내역 요청타입 = 부품수리, 승인하면 결재완료</t>
  </si>
  <si>
    <t>설비제개정(EQUIPREV) 제정 결재요청을 한다.</t>
  </si>
  <si>
    <t>[생성] → Revision 제정 팝업 [저장] → [sychoi] 상세 저장 → [승인요청] → 결재자 최신영 → [승인요청] → 결재대기에서 승인</t>
  </si>
  <si>
    <t>결재라인이 승인Flow설정(설비제개정)과 같고, 요청 후 문서 상태 = 결재요청, 결재요청내역 요청타입 = 설비제개정, 승인하면 결재완료</t>
  </si>
  <si>
    <t>계측기제개정(EQTLREV) 제정 결재요청을 한다.</t>
  </si>
  <si>
    <t>결재라인이 승인Flow설정(계측기제개정)과 같고, 요청 후 문서 상태 = 결재요청, 결재요청내역 요청타입 = 계측기제개정, 승인하면 결재완료</t>
  </si>
  <si>
    <t>점검Group(PMIGRPRSLT) 결재요청을 한다.</t>
  </si>
  <si>
    <t>결재라인이 승인Flow설정(점검Group)과 같고, 요청 후 문서 상태 = 결재요청, 결재요청내역 요청타입 = 점검Group, 승인하면 결재완료</t>
  </si>
  <si>
    <t>점검주기제개정 결재(PMINSREV) 제정 결재요청을 한다.</t>
  </si>
  <si>
    <t>결재라인이 승인Flow설정(점검주기제개정 결재)과 같고, 요청 후 문서 상태 = 결재요청, 결재요청내역 요청타입 = 점검주기제개정 결재, 승인하면 결재완료</t>
  </si>
  <si>
    <t>공사작업계획(OHPLAN) 결재요청을 한다.</t>
  </si>
  <si>
    <t>결재라인이 승인Flow설정(공사작업계획)과 같고, 요청 후 문서 상태 = 결재요청, 결재요청내역 요청타입 = 공사작업계획, 승인하면 결재완료</t>
  </si>
  <si>
    <t>로그시트등록(LOGSHEET) 결재요청을 한다.</t>
  </si>
  <si>
    <t>결재라인이 승인Flow설정(로그시트등록)과 같고, 요청 후 문서 상태 = 결재요청, 결재요청내역 요청타입 = 로그시트등록, 승인하면 결재완료</t>
  </si>
  <si>
    <t>수리작업결재(WOAPPRLIST) 결재요청을 한다.</t>
  </si>
  <si>
    <t>결재라인이 승인Flow설정(수리작업결재)과 같고, 요청 후 문서 상태 = 결재요청, 결재요청내역 요청타입 = 수리작업결재, 승인하면 결재완료</t>
  </si>
  <si>
    <t>순회점검실행(PTRLRESULT) 결재요청을 한다.</t>
  </si>
  <si>
    <t>결재라인이 승인Flow설정(순회점검실행)과 같고, 요청 후 문서 상태 = 결재요청, 결재요청내역 요청타입 = 순회점검실행, 승인하면 결재완료</t>
  </si>
  <si>
    <t>일일작업승인(WODAY) 결재요청을 한다.</t>
  </si>
  <si>
    <t>결재라인이 승인Flow설정(일일작업승인)과 같고, 요청 후 문서 상태 = 결재요청, 결재요청내역 요청타입 = 일일작업승인, 승인하면 결재완료</t>
  </si>
  <si>
    <t>투자목록(INVTLIST) 결재요청을 한다.</t>
  </si>
  <si>
    <t>결재라인이 승인Flow설정(투자목록)과 같고, 요청 후 문서 상태 = 결재요청, 결재요청내역 요청타입 = 투자목록, 승인하면 결재완료</t>
  </si>
  <si>
    <t>예방점검계획승인(PMINSSCHED) 결재요청을 한다.</t>
  </si>
  <si>
    <t>결재라인이 승인Flow설정(예방점검계획승인)과 같고, 요청 후 문서 상태 = 결재요청, 결재요청내역 요청타입 = 예방점검계획승인, 승인하면 결재완료</t>
  </si>
  <si>
    <t>작업계획승인(WOPLANAPPR) 결재요청을 한다.</t>
  </si>
  <si>
    <t>결재라인이 승인Flow설정(작업계획승인)과 같고, 요청 후 문서 상태 = 결재요청, 결재요청내역 요청타입 = 작업계획승인, 승인하면 결재완료</t>
  </si>
  <si>
    <t>점검실시 결재(PMINSRSLT) 결재요청을 한다.</t>
  </si>
  <si>
    <t>결재라인이 승인Flow설정(점검실시 결재)과 같고, 요청 후 문서 상태 = 결재요청, 결재요청내역 요청타입 = 점검실시 결재, 승인하면 결재완료</t>
  </si>
  <si>
    <t>변경발의요청(MOCREQ) 결재요청을 한다.</t>
  </si>
  <si>
    <t>결재라인이 승인Flow설정(변경발의요청)과 같고, 요청 후 문서 상태 = 결재요청, 결재요청내역 요청타입 = 변경발의요청, 승인하면 결재완료</t>
  </si>
  <si>
    <t>변경발의(MOCREC) 결재요청을 한다.</t>
  </si>
  <si>
    <t>결재라인이 승인Flow설정(변경발의)과 같고, 요청 후 문서 상태 = 결재요청, 결재요청내역 요청타입 = 변경발의, 승인하면 결재완료</t>
  </si>
  <si>
    <t>변경위원회(MOCCMTEE) 결재요청을 한다.</t>
  </si>
  <si>
    <t>결재라인이 승인Flow설정(변경위원회)과 같고, 요청 후 문서 상태 = 결재요청, 결재요청내역 요청타입 = 변경위원회, 승인하면 결재완료</t>
  </si>
  <si>
    <t>변경작업(MOCWORK) 결재요청을 한다.</t>
  </si>
  <si>
    <t>결재라인이 승인Flow설정(변경작업)과 같고, 요청 후 문서 상태 = 결재요청, 결재요청내역 요청타입 = 변경작업, 승인하면 결재완료</t>
  </si>
  <si>
    <t>특별점검(PMIER) 결재요청을 한다.</t>
  </si>
  <si>
    <t>결재라인이 승인Flow설정(특별점검)과 같고, 요청 후 문서 상태 = 결재요청, 결재요청내역 요청타입 = 특별점검, 승인하면 결재완료</t>
  </si>
  <si>
    <t>설비제개정(EQUIPREV) 개정 결재요청을 한다.</t>
  </si>
  <si>
    <t>기존 데이터 상세 [개정] → Revision 팝업 [저장] → [승인요청] → 결재자 최신영 → [승인요청] → 결재대기에서 승인</t>
  </si>
  <si>
    <t>계측기제개정(EQTLREV) 개정 결재요청을 한다.</t>
  </si>
  <si>
    <t>점검주기제개정 결재(PMINSREV) 개정 결재요청을 한다.</t>
  </si>
  <si>
    <t>제목 길이 초과를 확인한다.</t>
  </si>
  <si>
    <t>제목에 한글 200자 → [저장]</t>
  </si>
  <si>
    <t>길이 초과 안내가 뜸</t>
  </si>
  <si>
    <t>같은 결재자를 같은 단계에 두 번 넣는다.</t>
  </si>
  <si>
    <t>결재자1·결재자2 에 최신영 → [저장]</t>
  </si>
  <si>
    <t>중복 안내가 뜨거나 한 명만 저장됨</t>
  </si>
  <si>
    <t>결재자 칸에 없는 이름을 직접 입력한다.</t>
  </si>
  <si>
    <t>결재자1 칸에 "없는사람" 입력 → [저장]</t>
  </si>
  <si>
    <t>저장되지 않거나 칸이 비워짐</t>
  </si>
  <si>
    <t>저장하지 않고 닫으면 반영되지 않는다.</t>
  </si>
  <si>
    <t>결재자 지정 → 저장 없이 팝업 닫기 → 다시 연다</t>
  </si>
  <si>
    <t>지정 전 값 그대로</t>
  </si>
  <si>
    <t>결재가 끝난 문서는 다시 요청할 수 없다.</t>
  </si>
  <si>
    <t>결재완료 문서 상세</t>
  </si>
  <si>
    <t>[승인요청] 버튼이 없음</t>
  </si>
  <si>
    <t>[oracle·mssql] [다른 메뉴 오류: 계측기 제정, 별도 요청] 계측기 [생성] → Revision 제정 팝업에 계측기번호·계측기명 입력 → [저장] 후 상세에 값이 안 넘어와 [저장] 시 "계측기번호은(는) 필수입력항목 입니다." → 결재요청까지 못 감.
→ 기대: 팝업 값이 상세로 넘어와 저장·승인요청 가능</t>
    <phoneticPr fontId="1" type="noConversion"/>
  </si>
  <si>
    <t>AZ303_TC_036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</si>
</sst>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4" fontId="10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176" fontId="9" fillId="0" borderId="4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14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9" fillId="6" borderId="1" xfId="0" applyFont="1" applyFill="1" applyBorder="1" applyAlignment="1">
      <alignment vertical="top" wrapText="1"/>
    </xf>
    <xf numFmtId="176" fontId="9" fillId="6" borderId="4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4" fontId="9" fillId="6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top" wrapText="1"/>
    </xf>
    <xf numFmtId="176" fontId="9" fillId="0" borderId="4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9"/>
  <sheetViews>
    <sheetView zoomScale="80" zoomScaleNormal="80" workbookViewId="0">
      <pane xSplit="4" ySplit="5" topLeftCell="F56" activePane="bottomRight" state="frozen"/>
      <selection pane="topRight" activeCell="D1" sqref="D1"/>
      <selection pane="bottomLeft" activeCell="A6" sqref="A6"/>
      <selection pane="bottomRight" activeCell="J41" sqref="J41"/>
    </sheetView>
  </sheetViews>
  <sheetFormatPr defaultColWidth="9" defaultRowHeight="16.5" x14ac:dyDescent="0.3"/>
  <cols>
    <col min="1" max="1" width="15.375" style="14" bestFit="1" customWidth="1"/>
    <col min="2" max="2" width="15.375" style="14" customWidth="1"/>
    <col min="3" max="3" width="8.75" style="13" bestFit="1" customWidth="1"/>
    <col min="4" max="4" width="14.5" style="14" bestFit="1" customWidth="1"/>
    <col min="5" max="5" width="43.5" style="14" customWidth="1"/>
    <col min="6" max="6" width="61.875" style="14" customWidth="1"/>
    <col min="7" max="7" width="60.5" style="14" bestFit="1" customWidth="1"/>
    <col min="8" max="8" width="14" style="42" customWidth="1"/>
    <col min="9" max="9" width="18.25" style="42" customWidth="1"/>
    <col min="10" max="10" width="37.875" style="13" customWidth="1"/>
    <col min="11" max="11" width="21" style="42" customWidth="1"/>
    <col min="12" max="14" width="9" style="14" customWidth="1"/>
    <col min="15" max="16384" width="9" style="14"/>
  </cols>
  <sheetData>
    <row r="2" spans="1:11" x14ac:dyDescent="0.3">
      <c r="A2" s="33" t="str">
        <f>"Dream 4.1 "&amp;CLEAN(A6)&amp;" 단위테스트"</f>
        <v>Dream 4.1 결재요청_AZ303 단위테스트</v>
      </c>
      <c r="B2" s="28"/>
      <c r="C2" s="32"/>
      <c r="D2" s="28"/>
      <c r="E2" s="28"/>
      <c r="F2" s="28"/>
      <c r="G2" s="28"/>
      <c r="H2" s="34"/>
      <c r="I2" s="34"/>
      <c r="J2" s="32"/>
      <c r="K2" s="34"/>
    </row>
    <row r="4" spans="1:11" x14ac:dyDescent="0.3">
      <c r="A4" s="22" t="s">
        <v>0</v>
      </c>
      <c r="B4" s="35"/>
      <c r="C4" s="6"/>
      <c r="D4" s="7"/>
      <c r="E4" s="6"/>
      <c r="F4" s="6"/>
      <c r="G4" s="6"/>
      <c r="H4" s="36"/>
      <c r="I4" s="7"/>
      <c r="J4" s="10"/>
      <c r="K4" s="23" t="s">
        <v>126</v>
      </c>
    </row>
    <row r="5" spans="1:11" ht="27" x14ac:dyDescent="0.3">
      <c r="A5" s="15" t="s">
        <v>1</v>
      </c>
      <c r="B5" s="16" t="s">
        <v>2</v>
      </c>
      <c r="C5" s="15" t="s">
        <v>3</v>
      </c>
      <c r="D5" s="15" t="s">
        <v>4</v>
      </c>
      <c r="E5" s="15" t="s">
        <v>5</v>
      </c>
      <c r="F5" s="15" t="s">
        <v>6</v>
      </c>
      <c r="G5" s="15" t="s">
        <v>7</v>
      </c>
      <c r="H5" s="17" t="s">
        <v>8</v>
      </c>
      <c r="I5" s="17" t="s">
        <v>9</v>
      </c>
      <c r="J5" s="17" t="s">
        <v>10</v>
      </c>
      <c r="K5" s="8" t="s">
        <v>11</v>
      </c>
    </row>
    <row r="6" spans="1:11" ht="27" x14ac:dyDescent="0.3">
      <c r="A6" s="26" t="s">
        <v>17</v>
      </c>
      <c r="B6" s="26" t="s">
        <v>18</v>
      </c>
      <c r="C6" s="26" t="s">
        <v>19</v>
      </c>
      <c r="D6" s="1" t="s">
        <v>20</v>
      </c>
      <c r="E6" s="2" t="s">
        <v>127</v>
      </c>
      <c r="F6" s="3" t="s">
        <v>128</v>
      </c>
      <c r="G6" s="2" t="s">
        <v>129</v>
      </c>
      <c r="H6" s="37" t="str">
        <f t="array" ref="H6">INDEX('Dev 조치사항'!$H$6:$H$985, MATCH(1, ('Dev 조치사항'!$D$6:$D$985=D6)*('Dev 조치사항'!$K$6:$K$985=_xlfn.MAXIFS('Dev 조치사항'!$K$6:$K$985, 'Dev 조치사항'!$D$6:$D$985, D6)), 0))</f>
        <v>최신영</v>
      </c>
      <c r="I6" s="38" t="str">
        <f t="array" ref="I6">INDEX('Dev 조치사항'!$I$6:$I$985, MATCH(1, ('Dev 조치사항'!$D$6:$D$985=D6)*('Dev 조치사항'!$K$6:$K$985=_xlfn.MAXIFS('Dev 조치사항'!$K$6:$K$985, 'Dev 조치사항'!$D$6:$D$985, D6)), 0))</f>
        <v>정상</v>
      </c>
      <c r="J6" s="12" t="str">
        <f t="array" ref="J6">IF(
  INDEX('Dev 조치사항'!$J$6:$J$985,
    MATCH(1,
      ('Dev 조치사항'!$D$6:$D$985=D6)*
      ('Dev 조치사항'!$K$6:$K$985=_xlfn.MAXIFS('Dev 조치사항'!$K$6:$K$985, 'Dev 조치사항'!$D$6:$D$985, D6)),
    0)
  ) = "",
  "-",
  INDEX('Dev 조치사항'!$J$6:$J$985,
    MATCH(1,
      ('Dev 조치사항'!$D$6:$D$985=D6)*
      ('Dev 조치사항'!$K$6:$K$985=_xlfn.MAXIFS('Dev 조치사항'!$K$6:$K$985, 'Dev 조치사항'!$D$6:$D$985, D6)),
    0)
  )
)</f>
        <v>-</v>
      </c>
      <c r="K6" s="39">
        <f>_xlfn.MAXIFS('Dev 조치사항'!$K$6:$K$985, 'Dev 조치사항'!$D$6:$D$985, D6)</f>
        <v>46322</v>
      </c>
    </row>
    <row r="7" spans="1:11" ht="82.5" x14ac:dyDescent="0.3">
      <c r="A7" s="40"/>
      <c r="B7" s="40"/>
      <c r="C7" s="41"/>
      <c r="D7" s="1" t="s">
        <v>23</v>
      </c>
      <c r="E7" s="2" t="s">
        <v>130</v>
      </c>
      <c r="F7" s="3" t="s">
        <v>131</v>
      </c>
      <c r="G7" s="2" t="s">
        <v>132</v>
      </c>
      <c r="H7" s="37" t="str">
        <f t="array" ref="H7">INDEX('Dev 조치사항'!$H$6:$H$985, MATCH(1, ('Dev 조치사항'!$D$6:$D$985=D7)*('Dev 조치사항'!$K$6:$K$985=_xlfn.MAXIFS('Dev 조치사항'!$K$6:$K$985, 'Dev 조치사항'!$D$6:$D$985, D7)), 0))</f>
        <v>최신영</v>
      </c>
      <c r="I7" s="38" t="str">
        <f t="array" ref="I7">INDEX('Dev 조치사항'!$I$6:$I$985, MATCH(1, ('Dev 조치사항'!$D$6:$D$985=D7)*('Dev 조치사항'!$K$6:$K$985=_xlfn.MAXIFS('Dev 조치사항'!$K$6:$K$985, 'Dev 조치사항'!$D$6:$D$985, D7)), 0))</f>
        <v>정상</v>
      </c>
      <c r="J7" s="12" t="str">
        <f t="array" ref="J7">IF(
  INDEX('Dev 조치사항'!$J$6:$J$985,
    MATCH(1,
      ('Dev 조치사항'!$D$6:$D$985=D7)*
      ('Dev 조치사항'!$K$6:$K$985=_xlfn.MAXIFS('Dev 조치사항'!$K$6:$K$985, 'Dev 조치사항'!$D$6:$D$985, D7)),
    0)
  ) = "",
  "-",
  INDEX('Dev 조치사항'!$J$6:$J$985,
    MATCH(1,
      ('Dev 조치사항'!$D$6:$D$985=D7)*
      ('Dev 조치사항'!$K$6:$K$985=_xlfn.MAXIFS('Dev 조치사항'!$K$6:$K$985, 'Dev 조치사항'!$D$6:$D$985, D7)),
    0)
  )
)</f>
        <v>[개선] [oracle·mssql] 사원 Lov 는 결재요청 팝업 안에 다 보임. 다만 결재자 칸을 누르면 뜨는 사원 자동완성 목록(폭 약 87px, 글자 줄바꿈)이 사원 Lov 를 연 뒤에도 Lov 위에 남아 행을 가림.</v>
      </c>
      <c r="K7" s="39">
        <f>_xlfn.MAXIFS('Dev 조치사항'!$K$6:$K$985, 'Dev 조치사항'!$D$6:$D$985, D7)</f>
        <v>46322</v>
      </c>
    </row>
    <row r="8" spans="1:11" x14ac:dyDescent="0.3">
      <c r="A8" s="40"/>
      <c r="B8" s="40"/>
      <c r="C8" s="1" t="s">
        <v>26</v>
      </c>
      <c r="D8" s="1" t="s">
        <v>27</v>
      </c>
      <c r="E8" s="2" t="s">
        <v>133</v>
      </c>
      <c r="F8" s="3" t="s">
        <v>134</v>
      </c>
      <c r="G8" s="2" t="s">
        <v>135</v>
      </c>
      <c r="H8" s="37" t="str">
        <f t="array" ref="H8">INDEX('Dev 조치사항'!$H$6:$H$985, MATCH(1, ('Dev 조치사항'!$D$6:$D$985=D8)*('Dev 조치사항'!$K$6:$K$985=_xlfn.MAXIFS('Dev 조치사항'!$K$6:$K$985, 'Dev 조치사항'!$D$6:$D$985, D8)), 0))</f>
        <v>최신영</v>
      </c>
      <c r="I8" s="38" t="str">
        <f t="array" ref="I8">INDEX('Dev 조치사항'!$I$6:$I$985, MATCH(1, ('Dev 조치사항'!$D$6:$D$985=D8)*('Dev 조치사항'!$K$6:$K$985=_xlfn.MAXIFS('Dev 조치사항'!$K$6:$K$985, 'Dev 조치사항'!$D$6:$D$985, D8)), 0))</f>
        <v>정상</v>
      </c>
      <c r="J8" s="12" t="str">
        <f t="array" ref="J8">IF(
  INDEX('Dev 조치사항'!$J$6:$J$985,
    MATCH(1,
      ('Dev 조치사항'!$D$6:$D$985=D8)*
      ('Dev 조치사항'!$K$6:$K$985=_xlfn.MAXIFS('Dev 조치사항'!$K$6:$K$985, 'Dev 조치사항'!$D$6:$D$985, D8)),
    0)
  ) = "",
  "-",
  INDEX('Dev 조치사항'!$J$6:$J$985,
    MATCH(1,
      ('Dev 조치사항'!$D$6:$D$985=D8)*
      ('Dev 조치사항'!$K$6:$K$985=_xlfn.MAXIFS('Dev 조치사항'!$K$6:$K$985, 'Dev 조치사항'!$D$6:$D$985, D8)),
    0)
  )
)</f>
        <v>-</v>
      </c>
      <c r="K8" s="39">
        <f>_xlfn.MAXIFS('Dev 조치사항'!$K$6:$K$985, 'Dev 조치사항'!$D$6:$D$985, D8)</f>
        <v>46322</v>
      </c>
    </row>
    <row r="9" spans="1:11" x14ac:dyDescent="0.3">
      <c r="A9" s="40"/>
      <c r="B9" s="40"/>
      <c r="C9" s="26" t="s">
        <v>28</v>
      </c>
      <c r="D9" s="1" t="s">
        <v>29</v>
      </c>
      <c r="E9" s="2" t="s">
        <v>136</v>
      </c>
      <c r="F9" s="3" t="s">
        <v>137</v>
      </c>
      <c r="G9" s="2" t="s">
        <v>138</v>
      </c>
      <c r="H9" s="37" t="str">
        <f t="array" ref="H9">INDEX('Dev 조치사항'!$H$6:$H$985, MATCH(1, ('Dev 조치사항'!$D$6:$D$985=D9)*('Dev 조치사항'!$K$6:$K$985=_xlfn.MAXIFS('Dev 조치사항'!$K$6:$K$985, 'Dev 조치사항'!$D$6:$D$985, D9)), 0))</f>
        <v>최신영</v>
      </c>
      <c r="I9" s="38" t="str">
        <f t="array" ref="I9">INDEX('Dev 조치사항'!$I$6:$I$985, MATCH(1, ('Dev 조치사항'!$D$6:$D$985=D9)*('Dev 조치사항'!$K$6:$K$985=_xlfn.MAXIFS('Dev 조치사항'!$K$6:$K$985, 'Dev 조치사항'!$D$6:$D$985, D9)), 0))</f>
        <v>정상</v>
      </c>
      <c r="J9" s="12" t="str">
        <f t="array" ref="J9">IF(
  INDEX('Dev 조치사항'!$J$6:$J$985,
    MATCH(1,
      ('Dev 조치사항'!$D$6:$D$985=D9)*
      ('Dev 조치사항'!$K$6:$K$985=_xlfn.MAXIFS('Dev 조치사항'!$K$6:$K$985, 'Dev 조치사항'!$D$6:$D$985, D9)),
    0)
  ) = "",
  "-",
  INDEX('Dev 조치사항'!$J$6:$J$985,
    MATCH(1,
      ('Dev 조치사항'!$D$6:$D$985=D9)*
      ('Dev 조치사항'!$K$6:$K$985=_xlfn.MAXIFS('Dev 조치사항'!$K$6:$K$985, 'Dev 조치사항'!$D$6:$D$985, D9)),
    0)
  )
)</f>
        <v>-</v>
      </c>
      <c r="K9" s="39">
        <f>_xlfn.MAXIFS('Dev 조치사항'!$K$6:$K$985, 'Dev 조치사항'!$D$6:$D$985, D9)</f>
        <v>46322</v>
      </c>
    </row>
    <row r="10" spans="1:11" x14ac:dyDescent="0.3">
      <c r="A10" s="40"/>
      <c r="B10" s="40"/>
      <c r="C10" s="40"/>
      <c r="D10" s="1" t="s">
        <v>30</v>
      </c>
      <c r="E10" s="2" t="s">
        <v>139</v>
      </c>
      <c r="F10" s="3" t="s">
        <v>140</v>
      </c>
      <c r="G10" s="2" t="s">
        <v>141</v>
      </c>
      <c r="H10" s="37" t="str">
        <f t="array" ref="H10">INDEX('Dev 조치사항'!$H$6:$H$985, MATCH(1, ('Dev 조치사항'!$D$6:$D$985=D10)*('Dev 조치사항'!$K$6:$K$985=_xlfn.MAXIFS('Dev 조치사항'!$K$6:$K$985, 'Dev 조치사항'!$D$6:$D$985, D10)), 0))</f>
        <v>최신영</v>
      </c>
      <c r="I10" s="38" t="str">
        <f t="array" ref="I10">INDEX('Dev 조치사항'!$I$6:$I$985, MATCH(1, ('Dev 조치사항'!$D$6:$D$985=D10)*('Dev 조치사항'!$K$6:$K$985=_xlfn.MAXIFS('Dev 조치사항'!$K$6:$K$985, 'Dev 조치사항'!$D$6:$D$985, D10)), 0))</f>
        <v>정상</v>
      </c>
      <c r="J10" s="12" t="str">
        <f t="array" ref="J10">IF(
  INDEX('Dev 조치사항'!$J$6:$J$985,
    MATCH(1,
      ('Dev 조치사항'!$D$6:$D$985=D10)*
      ('Dev 조치사항'!$K$6:$K$985=_xlfn.MAXIFS('Dev 조치사항'!$K$6:$K$985, 'Dev 조치사항'!$D$6:$D$985, D10)),
    0)
  ) = "",
  "-",
  INDEX('Dev 조치사항'!$J$6:$J$985,
    MATCH(1,
      ('Dev 조치사항'!$D$6:$D$985=D10)*
      ('Dev 조치사항'!$K$6:$K$985=_xlfn.MAXIFS('Dev 조치사항'!$K$6:$K$985, 'Dev 조치사항'!$D$6:$D$985, D10)),
    0)
  )
)</f>
        <v>-</v>
      </c>
      <c r="K10" s="39">
        <f>_xlfn.MAXIFS('Dev 조치사항'!$K$6:$K$985, 'Dev 조치사항'!$D$6:$D$985, D10)</f>
        <v>46322</v>
      </c>
    </row>
    <row r="11" spans="1:11" ht="27" x14ac:dyDescent="0.3">
      <c r="A11" s="40"/>
      <c r="B11" s="40"/>
      <c r="C11" s="41"/>
      <c r="D11" s="1" t="s">
        <v>31</v>
      </c>
      <c r="E11" s="2" t="s">
        <v>142</v>
      </c>
      <c r="F11" s="3" t="s">
        <v>143</v>
      </c>
      <c r="G11" s="2" t="s">
        <v>144</v>
      </c>
      <c r="H11" s="37" t="str">
        <f t="array" ref="H11">INDEX('Dev 조치사항'!$H$6:$H$985, MATCH(1, ('Dev 조치사항'!$D$6:$D$985=D11)*('Dev 조치사항'!$K$6:$K$985=_xlfn.MAXIFS('Dev 조치사항'!$K$6:$K$985, 'Dev 조치사항'!$D$6:$D$985, D11)), 0))</f>
        <v>최신영</v>
      </c>
      <c r="I11" s="38" t="str">
        <f t="array" ref="I11">INDEX('Dev 조치사항'!$I$6:$I$985, MATCH(1, ('Dev 조치사항'!$D$6:$D$985=D11)*('Dev 조치사항'!$K$6:$K$985=_xlfn.MAXIFS('Dev 조치사항'!$K$6:$K$985, 'Dev 조치사항'!$D$6:$D$985, D11)), 0))</f>
        <v>정상</v>
      </c>
      <c r="J11" s="12" t="str">
        <f t="array" ref="J11">IF(
  INDEX('Dev 조치사항'!$J$6:$J$985,
    MATCH(1,
      ('Dev 조치사항'!$D$6:$D$985=D11)*
      ('Dev 조치사항'!$K$6:$K$985=_xlfn.MAXIFS('Dev 조치사항'!$K$6:$K$985, 'Dev 조치사항'!$D$6:$D$985, D11)),
    0)
  ) = "",
  "-",
  INDEX('Dev 조치사항'!$J$6:$J$985,
    MATCH(1,
      ('Dev 조치사항'!$D$6:$D$985=D11)*
      ('Dev 조치사항'!$K$6:$K$985=_xlfn.MAXIFS('Dev 조치사항'!$K$6:$K$985, 'Dev 조치사항'!$D$6:$D$985, D11)),
    0)
  )
)</f>
        <v>-</v>
      </c>
      <c r="K11" s="39">
        <f>_xlfn.MAXIFS('Dev 조치사항'!$K$6:$K$985, 'Dev 조치사항'!$D$6:$D$985, D11)</f>
        <v>46323</v>
      </c>
    </row>
    <row r="12" spans="1:11" ht="27" x14ac:dyDescent="0.3">
      <c r="A12" s="40"/>
      <c r="B12" s="41"/>
      <c r="C12" s="1" t="s">
        <v>32</v>
      </c>
      <c r="D12" s="1" t="s">
        <v>33</v>
      </c>
      <c r="E12" s="2" t="s">
        <v>145</v>
      </c>
      <c r="F12" s="3" t="s">
        <v>146</v>
      </c>
      <c r="G12" s="2" t="s">
        <v>147</v>
      </c>
      <c r="H12" s="37" t="str">
        <f t="array" ref="H12">INDEX('Dev 조치사항'!$H$6:$H$985, MATCH(1, ('Dev 조치사항'!$D$6:$D$985=D12)*('Dev 조치사항'!$K$6:$K$985=_xlfn.MAXIFS('Dev 조치사항'!$K$6:$K$985, 'Dev 조치사항'!$D$6:$D$985, D12)), 0))</f>
        <v>최신영</v>
      </c>
      <c r="I12" s="38" t="str">
        <f t="array" ref="I12">INDEX('Dev 조치사항'!$I$6:$I$985, MATCH(1, ('Dev 조치사항'!$D$6:$D$985=D12)*('Dev 조치사항'!$K$6:$K$985=_xlfn.MAXIFS('Dev 조치사항'!$K$6:$K$985, 'Dev 조치사항'!$D$6:$D$985, D12)), 0))</f>
        <v>정상</v>
      </c>
      <c r="J12" s="12" t="str">
        <f t="array" ref="J12">IF(
  INDEX('Dev 조치사항'!$J$6:$J$985,
    MATCH(1,
      ('Dev 조치사항'!$D$6:$D$985=D12)*
      ('Dev 조치사항'!$K$6:$K$985=_xlfn.MAXIFS('Dev 조치사항'!$K$6:$K$985, 'Dev 조치사항'!$D$6:$D$985, D12)),
    0)
  ) = "",
  "-",
  INDEX('Dev 조치사항'!$J$6:$J$985,
    MATCH(1,
      ('Dev 조치사항'!$D$6:$D$985=D12)*
      ('Dev 조치사항'!$K$6:$K$985=_xlfn.MAXIFS('Dev 조치사항'!$K$6:$K$985, 'Dev 조치사항'!$D$6:$D$985, D12)),
    0)
  )
)</f>
        <v>-</v>
      </c>
      <c r="K12" s="39">
        <f>_xlfn.MAXIFS('Dev 조치사항'!$K$6:$K$985, 'Dev 조치사항'!$D$6:$D$985, D12)</f>
        <v>46322</v>
      </c>
    </row>
    <row r="13" spans="1:11" x14ac:dyDescent="0.3">
      <c r="A13" s="40"/>
      <c r="B13" s="26" t="s">
        <v>34</v>
      </c>
      <c r="C13" s="26" t="s">
        <v>19</v>
      </c>
      <c r="D13" s="1" t="s">
        <v>35</v>
      </c>
      <c r="E13" s="2" t="s">
        <v>148</v>
      </c>
      <c r="F13" s="3" t="s">
        <v>149</v>
      </c>
      <c r="G13" s="2" t="s">
        <v>150</v>
      </c>
      <c r="H13" s="37" t="str">
        <f t="array" ref="H13">INDEX('Dev 조치사항'!$H$6:$H$985, MATCH(1, ('Dev 조치사항'!$D$6:$D$985=D13)*('Dev 조치사항'!$K$6:$K$985=_xlfn.MAXIFS('Dev 조치사항'!$K$6:$K$985, 'Dev 조치사항'!$D$6:$D$985, D13)), 0))</f>
        <v>최신영</v>
      </c>
      <c r="I13" s="38" t="str">
        <f t="array" ref="I13">INDEX('Dev 조치사항'!$I$6:$I$985, MATCH(1, ('Dev 조치사항'!$D$6:$D$985=D13)*('Dev 조치사항'!$K$6:$K$985=_xlfn.MAXIFS('Dev 조치사항'!$K$6:$K$985, 'Dev 조치사항'!$D$6:$D$985, D13)), 0))</f>
        <v>정상</v>
      </c>
      <c r="J13" s="12" t="str">
        <f t="array" ref="J13">IF(
  INDEX('Dev 조치사항'!$J$6:$J$985,
    MATCH(1,
      ('Dev 조치사항'!$D$6:$D$985=D13)*
      ('Dev 조치사항'!$K$6:$K$985=_xlfn.MAXIFS('Dev 조치사항'!$K$6:$K$985, 'Dev 조치사항'!$D$6:$D$985, D13)),
    0)
  ) = "",
  "-",
  INDEX('Dev 조치사항'!$J$6:$J$985,
    MATCH(1,
      ('Dev 조치사항'!$D$6:$D$985=D13)*
      ('Dev 조치사항'!$K$6:$K$985=_xlfn.MAXIFS('Dev 조치사항'!$K$6:$K$985, 'Dev 조치사항'!$D$6:$D$985, D13)),
    0)
  )
)</f>
        <v>-</v>
      </c>
      <c r="K13" s="39">
        <f>_xlfn.MAXIFS('Dev 조치사항'!$K$6:$K$985, 'Dev 조치사항'!$D$6:$D$985, D13)</f>
        <v>46322</v>
      </c>
    </row>
    <row r="14" spans="1:11" ht="27" x14ac:dyDescent="0.3">
      <c r="A14" s="40"/>
      <c r="B14" s="40"/>
      <c r="C14" s="41"/>
      <c r="D14" s="1" t="s">
        <v>36</v>
      </c>
      <c r="E14" s="2" t="s">
        <v>151</v>
      </c>
      <c r="F14" s="3" t="s">
        <v>152</v>
      </c>
      <c r="G14" s="2" t="s">
        <v>153</v>
      </c>
      <c r="H14" s="37" t="str">
        <f t="array" ref="H14">INDEX('Dev 조치사항'!$H$6:$H$985, MATCH(1, ('Dev 조치사항'!$D$6:$D$985=D14)*('Dev 조치사항'!$K$6:$K$985=_xlfn.MAXIFS('Dev 조치사항'!$K$6:$K$985, 'Dev 조치사항'!$D$6:$D$985, D14)), 0))</f>
        <v>최신영</v>
      </c>
      <c r="I14" s="38" t="str">
        <f t="array" ref="I14">INDEX('Dev 조치사항'!$I$6:$I$985, MATCH(1, ('Dev 조치사항'!$D$6:$D$985=D14)*('Dev 조치사항'!$K$6:$K$985=_xlfn.MAXIFS('Dev 조치사항'!$K$6:$K$985, 'Dev 조치사항'!$D$6:$D$985, D14)), 0))</f>
        <v>정상</v>
      </c>
      <c r="J14" s="12" t="str">
        <f t="array" ref="J14">IF(
  INDEX('Dev 조치사항'!$J$6:$J$985,
    MATCH(1,
      ('Dev 조치사항'!$D$6:$D$985=D14)*
      ('Dev 조치사항'!$K$6:$K$985=_xlfn.MAXIFS('Dev 조치사항'!$K$6:$K$985, 'Dev 조치사항'!$D$6:$D$985, D14)),
    0)
  ) = "",
  "-",
  INDEX('Dev 조치사항'!$J$6:$J$985,
    MATCH(1,
      ('Dev 조치사항'!$D$6:$D$985=D14)*
      ('Dev 조치사항'!$K$6:$K$985=_xlfn.MAXIFS('Dev 조치사항'!$K$6:$K$985, 'Dev 조치사항'!$D$6:$D$985, D14)),
    0)
  )
)</f>
        <v>-</v>
      </c>
      <c r="K14" s="39">
        <f>_xlfn.MAXIFS('Dev 조치사항'!$K$6:$K$985, 'Dev 조치사항'!$D$6:$D$985, D14)</f>
        <v>46322</v>
      </c>
    </row>
    <row r="15" spans="1:11" x14ac:dyDescent="0.3">
      <c r="A15" s="40"/>
      <c r="B15" s="40"/>
      <c r="C15" s="26" t="s">
        <v>37</v>
      </c>
      <c r="D15" s="1" t="s">
        <v>38</v>
      </c>
      <c r="E15" s="2" t="s">
        <v>154</v>
      </c>
      <c r="F15" s="3" t="s">
        <v>155</v>
      </c>
      <c r="G15" s="2" t="s">
        <v>156</v>
      </c>
      <c r="H15" s="37" t="str">
        <f t="array" ref="H15">INDEX('Dev 조치사항'!$H$6:$H$985, MATCH(1, ('Dev 조치사항'!$D$6:$D$985=D15)*('Dev 조치사항'!$K$6:$K$985=_xlfn.MAXIFS('Dev 조치사항'!$K$6:$K$985, 'Dev 조치사항'!$D$6:$D$985, D15)), 0))</f>
        <v>최신영</v>
      </c>
      <c r="I15" s="38" t="str">
        <f t="array" ref="I15">INDEX('Dev 조치사항'!$I$6:$I$985, MATCH(1, ('Dev 조치사항'!$D$6:$D$985=D15)*('Dev 조치사항'!$K$6:$K$985=_xlfn.MAXIFS('Dev 조치사항'!$K$6:$K$985, 'Dev 조치사항'!$D$6:$D$985, D15)), 0))</f>
        <v>정상</v>
      </c>
      <c r="J15" s="12" t="str">
        <f t="array" ref="J15">IF(
  INDEX('Dev 조치사항'!$J$6:$J$985,
    MATCH(1,
      ('Dev 조치사항'!$D$6:$D$985=D15)*
      ('Dev 조치사항'!$K$6:$K$985=_xlfn.MAXIFS('Dev 조치사항'!$K$6:$K$985, 'Dev 조치사항'!$D$6:$D$985, D15)),
    0)
  ) = "",
  "-",
  INDEX('Dev 조치사항'!$J$6:$J$985,
    MATCH(1,
      ('Dev 조치사항'!$D$6:$D$985=D15)*
      ('Dev 조치사항'!$K$6:$K$985=_xlfn.MAXIFS('Dev 조치사항'!$K$6:$K$985, 'Dev 조치사항'!$D$6:$D$985, D15)),
    0)
  )
)</f>
        <v>-</v>
      </c>
      <c r="K15" s="39">
        <f>_xlfn.MAXIFS('Dev 조치사항'!$K$6:$K$985, 'Dev 조치사항'!$D$6:$D$985, D15)</f>
        <v>46322</v>
      </c>
    </row>
    <row r="16" spans="1:11" x14ac:dyDescent="0.3">
      <c r="A16" s="40"/>
      <c r="B16" s="40"/>
      <c r="C16" s="41"/>
      <c r="D16" s="1" t="s">
        <v>39</v>
      </c>
      <c r="E16" s="2" t="s">
        <v>157</v>
      </c>
      <c r="F16" s="3" t="s">
        <v>158</v>
      </c>
      <c r="G16" s="2" t="s">
        <v>159</v>
      </c>
      <c r="H16" s="37" t="str">
        <f t="array" ref="H16">INDEX('Dev 조치사항'!$H$6:$H$985, MATCH(1, ('Dev 조치사항'!$D$6:$D$985=D16)*('Dev 조치사항'!$K$6:$K$985=_xlfn.MAXIFS('Dev 조치사항'!$K$6:$K$985, 'Dev 조치사항'!$D$6:$D$985, D16)), 0))</f>
        <v>최신영</v>
      </c>
      <c r="I16" s="38" t="str">
        <f t="array" ref="I16">INDEX('Dev 조치사항'!$I$6:$I$985, MATCH(1, ('Dev 조치사항'!$D$6:$D$985=D16)*('Dev 조치사항'!$K$6:$K$985=_xlfn.MAXIFS('Dev 조치사항'!$K$6:$K$985, 'Dev 조치사항'!$D$6:$D$985, D16)), 0))</f>
        <v>정상</v>
      </c>
      <c r="J16" s="12" t="str">
        <f t="array" ref="J16">IF(
  INDEX('Dev 조치사항'!$J$6:$J$985,
    MATCH(1,
      ('Dev 조치사항'!$D$6:$D$985=D16)*
      ('Dev 조치사항'!$K$6:$K$985=_xlfn.MAXIFS('Dev 조치사항'!$K$6:$K$985, 'Dev 조치사항'!$D$6:$D$985, D16)),
    0)
  ) = "",
  "-",
  INDEX('Dev 조치사항'!$J$6:$J$985,
    MATCH(1,
      ('Dev 조치사항'!$D$6:$D$985=D16)*
      ('Dev 조치사항'!$K$6:$K$985=_xlfn.MAXIFS('Dev 조치사항'!$K$6:$K$985, 'Dev 조치사항'!$D$6:$D$985, D16)),
    0)
  )
)</f>
        <v>-</v>
      </c>
      <c r="K16" s="39">
        <f>_xlfn.MAXIFS('Dev 조치사항'!$K$6:$K$985, 'Dev 조치사항'!$D$6:$D$985, D16)</f>
        <v>46322</v>
      </c>
    </row>
    <row r="17" spans="1:11" x14ac:dyDescent="0.3">
      <c r="A17" s="40"/>
      <c r="B17" s="40"/>
      <c r="C17" s="26" t="s">
        <v>28</v>
      </c>
      <c r="D17" s="1" t="s">
        <v>40</v>
      </c>
      <c r="E17" s="2" t="s">
        <v>160</v>
      </c>
      <c r="F17" s="3" t="s">
        <v>161</v>
      </c>
      <c r="G17" s="2" t="s">
        <v>162</v>
      </c>
      <c r="H17" s="37" t="str">
        <f t="array" ref="H17">INDEX('Dev 조치사항'!$H$6:$H$985, MATCH(1, ('Dev 조치사항'!$D$6:$D$985=D17)*('Dev 조치사항'!$K$6:$K$985=_xlfn.MAXIFS('Dev 조치사항'!$K$6:$K$985, 'Dev 조치사항'!$D$6:$D$985, D17)), 0))</f>
        <v>최신영</v>
      </c>
      <c r="I17" s="38" t="str">
        <f t="array" ref="I17">INDEX('Dev 조치사항'!$I$6:$I$985, MATCH(1, ('Dev 조치사항'!$D$6:$D$985=D17)*('Dev 조치사항'!$K$6:$K$985=_xlfn.MAXIFS('Dev 조치사항'!$K$6:$K$985, 'Dev 조치사항'!$D$6:$D$985, D17)), 0))</f>
        <v>정상</v>
      </c>
      <c r="J17" s="12" t="str">
        <f t="array" ref="J17">IF(
  INDEX('Dev 조치사항'!$J$6:$J$985,
    MATCH(1,
      ('Dev 조치사항'!$D$6:$D$985=D17)*
      ('Dev 조치사항'!$K$6:$K$985=_xlfn.MAXIFS('Dev 조치사항'!$K$6:$K$985, 'Dev 조치사항'!$D$6:$D$985, D17)),
    0)
  ) = "",
  "-",
  INDEX('Dev 조치사항'!$J$6:$J$985,
    MATCH(1,
      ('Dev 조치사항'!$D$6:$D$985=D17)*
      ('Dev 조치사항'!$K$6:$K$985=_xlfn.MAXIFS('Dev 조치사항'!$K$6:$K$985, 'Dev 조치사항'!$D$6:$D$985, D17)),
    0)
  )
)</f>
        <v>-</v>
      </c>
      <c r="K17" s="39">
        <f>_xlfn.MAXIFS('Dev 조치사항'!$K$6:$K$985, 'Dev 조치사항'!$D$6:$D$985, D17)</f>
        <v>46322</v>
      </c>
    </row>
    <row r="18" spans="1:11" x14ac:dyDescent="0.3">
      <c r="A18" s="40"/>
      <c r="B18" s="40"/>
      <c r="C18" s="41"/>
      <c r="D18" s="1" t="s">
        <v>41</v>
      </c>
      <c r="E18" s="2" t="s">
        <v>163</v>
      </c>
      <c r="F18" s="3" t="s">
        <v>164</v>
      </c>
      <c r="G18" s="2" t="s">
        <v>165</v>
      </c>
      <c r="H18" s="37" t="str">
        <f t="array" ref="H18">INDEX('Dev 조치사항'!$H$6:$H$985, MATCH(1, ('Dev 조치사항'!$D$6:$D$985=D18)*('Dev 조치사항'!$K$6:$K$985=_xlfn.MAXIFS('Dev 조치사항'!$K$6:$K$985, 'Dev 조치사항'!$D$6:$D$985, D18)), 0))</f>
        <v>최신영</v>
      </c>
      <c r="I18" s="38" t="str">
        <f t="array" ref="I18">INDEX('Dev 조치사항'!$I$6:$I$985, MATCH(1, ('Dev 조치사항'!$D$6:$D$985=D18)*('Dev 조치사항'!$K$6:$K$985=_xlfn.MAXIFS('Dev 조치사항'!$K$6:$K$985, 'Dev 조치사항'!$D$6:$D$985, D18)), 0))</f>
        <v>정상</v>
      </c>
      <c r="J18" s="12" t="str">
        <f t="array" ref="J18">IF(
  INDEX('Dev 조치사항'!$J$6:$J$985,
    MATCH(1,
      ('Dev 조치사항'!$D$6:$D$985=D18)*
      ('Dev 조치사항'!$K$6:$K$985=_xlfn.MAXIFS('Dev 조치사항'!$K$6:$K$985, 'Dev 조치사항'!$D$6:$D$985, D18)),
    0)
  ) = "",
  "-",
  INDEX('Dev 조치사항'!$J$6:$J$985,
    MATCH(1,
      ('Dev 조치사항'!$D$6:$D$985=D18)*
      ('Dev 조치사항'!$K$6:$K$985=_xlfn.MAXIFS('Dev 조치사항'!$K$6:$K$985, 'Dev 조치사항'!$D$6:$D$985, D18)),
    0)
  )
)</f>
        <v>-</v>
      </c>
      <c r="K18" s="39">
        <f>_xlfn.MAXIFS('Dev 조치사항'!$K$6:$K$985, 'Dev 조치사항'!$D$6:$D$985, D18)</f>
        <v>46322</v>
      </c>
    </row>
    <row r="19" spans="1:11" ht="27" x14ac:dyDescent="0.3">
      <c r="A19" s="40"/>
      <c r="B19" s="40"/>
      <c r="C19" s="26" t="s">
        <v>42</v>
      </c>
      <c r="D19" s="1" t="s">
        <v>43</v>
      </c>
      <c r="E19" s="2" t="s">
        <v>166</v>
      </c>
      <c r="F19" s="3" t="s">
        <v>167</v>
      </c>
      <c r="G19" s="2" t="s">
        <v>168</v>
      </c>
      <c r="H19" s="37" t="str">
        <f t="array" ref="H19">INDEX('Dev 조치사항'!$H$6:$H$985, MATCH(1, ('Dev 조치사항'!$D$6:$D$985=D19)*('Dev 조치사항'!$K$6:$K$985=_xlfn.MAXIFS('Dev 조치사항'!$K$6:$K$985, 'Dev 조치사항'!$D$6:$D$985, D19)), 0))</f>
        <v>최신영</v>
      </c>
      <c r="I19" s="38" t="str">
        <f t="array" ref="I19">INDEX('Dev 조치사항'!$I$6:$I$985, MATCH(1, ('Dev 조치사항'!$D$6:$D$985=D19)*('Dev 조치사항'!$K$6:$K$985=_xlfn.MAXIFS('Dev 조치사항'!$K$6:$K$985, 'Dev 조치사항'!$D$6:$D$985, D19)), 0))</f>
        <v>정상</v>
      </c>
      <c r="J19" s="12" t="str">
        <f t="array" ref="J19">IF(
  INDEX('Dev 조치사항'!$J$6:$J$985,
    MATCH(1,
      ('Dev 조치사항'!$D$6:$D$985=D19)*
      ('Dev 조치사항'!$K$6:$K$985=_xlfn.MAXIFS('Dev 조치사항'!$K$6:$K$985, 'Dev 조치사항'!$D$6:$D$985, D19)),
    0)
  ) = "",
  "-",
  INDEX('Dev 조치사항'!$J$6:$J$985,
    MATCH(1,
      ('Dev 조치사항'!$D$6:$D$985=D19)*
      ('Dev 조치사항'!$K$6:$K$985=_xlfn.MAXIFS('Dev 조치사항'!$K$6:$K$985, 'Dev 조치사항'!$D$6:$D$985, D19)),
    0)
  )
)</f>
        <v>-</v>
      </c>
      <c r="K19" s="39">
        <f>_xlfn.MAXIFS('Dev 조치사항'!$K$6:$K$985, 'Dev 조치사항'!$D$6:$D$985, D19)</f>
        <v>46322</v>
      </c>
    </row>
    <row r="20" spans="1:11" x14ac:dyDescent="0.3">
      <c r="A20" s="40"/>
      <c r="B20" s="40"/>
      <c r="C20" s="41"/>
      <c r="D20" s="1" t="s">
        <v>44</v>
      </c>
      <c r="E20" s="2" t="s">
        <v>169</v>
      </c>
      <c r="F20" s="3" t="s">
        <v>170</v>
      </c>
      <c r="G20" s="2" t="s">
        <v>171</v>
      </c>
      <c r="H20" s="37" t="str">
        <f t="array" ref="H20">INDEX('Dev 조치사항'!$H$6:$H$985, MATCH(1, ('Dev 조치사항'!$D$6:$D$985=D20)*('Dev 조치사항'!$K$6:$K$985=_xlfn.MAXIFS('Dev 조치사항'!$K$6:$K$985, 'Dev 조치사항'!$D$6:$D$985, D20)), 0))</f>
        <v>최신영</v>
      </c>
      <c r="I20" s="38" t="str">
        <f t="array" ref="I20">INDEX('Dev 조치사항'!$I$6:$I$985, MATCH(1, ('Dev 조치사항'!$D$6:$D$985=D20)*('Dev 조치사항'!$K$6:$K$985=_xlfn.MAXIFS('Dev 조치사항'!$K$6:$K$985, 'Dev 조치사항'!$D$6:$D$985, D20)), 0))</f>
        <v>정상</v>
      </c>
      <c r="J20" s="12" t="str">
        <f t="array" ref="J20">IF(
  INDEX('Dev 조치사항'!$J$6:$J$985,
    MATCH(1,
      ('Dev 조치사항'!$D$6:$D$985=D20)*
      ('Dev 조치사항'!$K$6:$K$985=_xlfn.MAXIFS('Dev 조치사항'!$K$6:$K$985, 'Dev 조치사항'!$D$6:$D$985, D20)),
    0)
  ) = "",
  "-",
  INDEX('Dev 조치사항'!$J$6:$J$985,
    MATCH(1,
      ('Dev 조치사항'!$D$6:$D$985=D20)*
      ('Dev 조치사항'!$K$6:$K$985=_xlfn.MAXIFS('Dev 조치사항'!$K$6:$K$985, 'Dev 조치사항'!$D$6:$D$985, D20)),
    0)
  )
)</f>
        <v>-</v>
      </c>
      <c r="K20" s="39">
        <f>_xlfn.MAXIFS('Dev 조치사항'!$K$6:$K$985, 'Dev 조치사항'!$D$6:$D$985, D20)</f>
        <v>46322</v>
      </c>
    </row>
    <row r="21" spans="1:11" x14ac:dyDescent="0.3">
      <c r="A21" s="40"/>
      <c r="B21" s="40"/>
      <c r="C21" s="1" t="s">
        <v>45</v>
      </c>
      <c r="D21" s="1" t="s">
        <v>46</v>
      </c>
      <c r="E21" s="2" t="s">
        <v>172</v>
      </c>
      <c r="F21" s="3" t="s">
        <v>173</v>
      </c>
      <c r="G21" s="2" t="s">
        <v>174</v>
      </c>
      <c r="H21" s="37" t="str">
        <f t="array" ref="H21">INDEX('Dev 조치사항'!$H$6:$H$985, MATCH(1, ('Dev 조치사항'!$D$6:$D$985=D21)*('Dev 조치사항'!$K$6:$K$985=_xlfn.MAXIFS('Dev 조치사항'!$K$6:$K$985, 'Dev 조치사항'!$D$6:$D$985, D21)), 0))</f>
        <v>최신영</v>
      </c>
      <c r="I21" s="38" t="str">
        <f t="array" ref="I21">INDEX('Dev 조치사항'!$I$6:$I$985, MATCH(1, ('Dev 조치사항'!$D$6:$D$985=D21)*('Dev 조치사항'!$K$6:$K$985=_xlfn.MAXIFS('Dev 조치사항'!$K$6:$K$985, 'Dev 조치사항'!$D$6:$D$985, D21)), 0))</f>
        <v>정상</v>
      </c>
      <c r="J21" s="12" t="str">
        <f t="array" ref="J21">IF(
  INDEX('Dev 조치사항'!$J$6:$J$985,
    MATCH(1,
      ('Dev 조치사항'!$D$6:$D$985=D21)*
      ('Dev 조치사항'!$K$6:$K$985=_xlfn.MAXIFS('Dev 조치사항'!$K$6:$K$985, 'Dev 조치사항'!$D$6:$D$985, D21)),
    0)
  ) = "",
  "-",
  INDEX('Dev 조치사항'!$J$6:$J$985,
    MATCH(1,
      ('Dev 조치사항'!$D$6:$D$985=D21)*
      ('Dev 조치사항'!$K$6:$K$985=_xlfn.MAXIFS('Dev 조치사항'!$K$6:$K$985, 'Dev 조치사항'!$D$6:$D$985, D21)),
    0)
  )
)</f>
        <v>-</v>
      </c>
      <c r="K21" s="39">
        <f>_xlfn.MAXIFS('Dev 조치사항'!$K$6:$K$985, 'Dev 조치사항'!$D$6:$D$985, D21)</f>
        <v>46322</v>
      </c>
    </row>
    <row r="22" spans="1:11" x14ac:dyDescent="0.3">
      <c r="A22" s="40"/>
      <c r="B22" s="40"/>
      <c r="C22" s="1" t="s">
        <v>32</v>
      </c>
      <c r="D22" s="1" t="s">
        <v>47</v>
      </c>
      <c r="E22" s="2" t="s">
        <v>175</v>
      </c>
      <c r="F22" s="3" t="s">
        <v>176</v>
      </c>
      <c r="G22" s="2" t="s">
        <v>177</v>
      </c>
      <c r="H22" s="37" t="str">
        <f t="array" ref="H22">INDEX('Dev 조치사항'!$H$6:$H$985, MATCH(1, ('Dev 조치사항'!$D$6:$D$985=D22)*('Dev 조치사항'!$K$6:$K$985=_xlfn.MAXIFS('Dev 조치사항'!$K$6:$K$985, 'Dev 조치사항'!$D$6:$D$985, D22)), 0))</f>
        <v>최신영</v>
      </c>
      <c r="I22" s="38" t="str">
        <f t="array" ref="I22">INDEX('Dev 조치사항'!$I$6:$I$985, MATCH(1, ('Dev 조치사항'!$D$6:$D$985=D22)*('Dev 조치사항'!$K$6:$K$985=_xlfn.MAXIFS('Dev 조치사항'!$K$6:$K$985, 'Dev 조치사항'!$D$6:$D$985, D22)), 0))</f>
        <v>정상</v>
      </c>
      <c r="J22" s="12" t="str">
        <f t="array" ref="J22">IF(
  INDEX('Dev 조치사항'!$J$6:$J$985,
    MATCH(1,
      ('Dev 조치사항'!$D$6:$D$985=D22)*
      ('Dev 조치사항'!$K$6:$K$985=_xlfn.MAXIFS('Dev 조치사항'!$K$6:$K$985, 'Dev 조치사항'!$D$6:$D$985, D22)),
    0)
  ) = "",
  "-",
  INDEX('Dev 조치사항'!$J$6:$J$985,
    MATCH(1,
      ('Dev 조치사항'!$D$6:$D$985=D22)*
      ('Dev 조치사항'!$K$6:$K$985=_xlfn.MAXIFS('Dev 조치사항'!$K$6:$K$985, 'Dev 조치사항'!$D$6:$D$985, D22)),
    0)
  )
)</f>
        <v>-</v>
      </c>
      <c r="K22" s="39">
        <f>_xlfn.MAXIFS('Dev 조치사항'!$K$6:$K$985, 'Dev 조치사항'!$D$6:$D$985, D22)</f>
        <v>46322</v>
      </c>
    </row>
    <row r="23" spans="1:11" x14ac:dyDescent="0.3">
      <c r="A23" s="40"/>
      <c r="B23" s="40"/>
      <c r="C23" s="26" t="s">
        <v>48</v>
      </c>
      <c r="D23" s="1" t="s">
        <v>49</v>
      </c>
      <c r="E23" s="2" t="s">
        <v>178</v>
      </c>
      <c r="F23" s="3" t="s">
        <v>179</v>
      </c>
      <c r="G23" s="2" t="s">
        <v>180</v>
      </c>
      <c r="H23" s="37" t="str">
        <f t="array" ref="H23">INDEX('Dev 조치사항'!$H$6:$H$985, MATCH(1, ('Dev 조치사항'!$D$6:$D$985=D23)*('Dev 조치사항'!$K$6:$K$985=_xlfn.MAXIFS('Dev 조치사항'!$K$6:$K$985, 'Dev 조치사항'!$D$6:$D$985, D23)), 0))</f>
        <v>최신영</v>
      </c>
      <c r="I23" s="38" t="str">
        <f t="array" ref="I23">INDEX('Dev 조치사항'!$I$6:$I$985, MATCH(1, ('Dev 조치사항'!$D$6:$D$985=D23)*('Dev 조치사항'!$K$6:$K$985=_xlfn.MAXIFS('Dev 조치사항'!$K$6:$K$985, 'Dev 조치사항'!$D$6:$D$985, D23)), 0))</f>
        <v>정상</v>
      </c>
      <c r="J23" s="12" t="str">
        <f t="array" ref="J23">IF(
  INDEX('Dev 조치사항'!$J$6:$J$985,
    MATCH(1,
      ('Dev 조치사항'!$D$6:$D$985=D23)*
      ('Dev 조치사항'!$K$6:$K$985=_xlfn.MAXIFS('Dev 조치사항'!$K$6:$K$985, 'Dev 조치사항'!$D$6:$D$985, D23)),
    0)
  ) = "",
  "-",
  INDEX('Dev 조치사항'!$J$6:$J$985,
    MATCH(1,
      ('Dev 조치사항'!$D$6:$D$985=D23)*
      ('Dev 조치사항'!$K$6:$K$985=_xlfn.MAXIFS('Dev 조치사항'!$K$6:$K$985, 'Dev 조치사항'!$D$6:$D$985, D23)),
    0)
  )
)</f>
        <v>-</v>
      </c>
      <c r="K23" s="39">
        <f>_xlfn.MAXIFS('Dev 조치사항'!$K$6:$K$985, 'Dev 조치사항'!$D$6:$D$985, D23)</f>
        <v>46323</v>
      </c>
    </row>
    <row r="24" spans="1:11" x14ac:dyDescent="0.3">
      <c r="A24" s="40"/>
      <c r="B24" s="41"/>
      <c r="C24" s="41"/>
      <c r="D24" s="1" t="s">
        <v>50</v>
      </c>
      <c r="E24" s="2" t="s">
        <v>181</v>
      </c>
      <c r="F24" s="3" t="s">
        <v>182</v>
      </c>
      <c r="G24" s="2" t="s">
        <v>183</v>
      </c>
      <c r="H24" s="37" t="str">
        <f t="array" ref="H24">INDEX('Dev 조치사항'!$H$6:$H$985, MATCH(1, ('Dev 조치사항'!$D$6:$D$985=D24)*('Dev 조치사항'!$K$6:$K$985=_xlfn.MAXIFS('Dev 조치사항'!$K$6:$K$985, 'Dev 조치사항'!$D$6:$D$985, D24)), 0))</f>
        <v>최신영</v>
      </c>
      <c r="I24" s="38" t="str">
        <f t="array" ref="I24">INDEX('Dev 조치사항'!$I$6:$I$985, MATCH(1, ('Dev 조치사항'!$D$6:$D$985=D24)*('Dev 조치사항'!$K$6:$K$985=_xlfn.MAXIFS('Dev 조치사항'!$K$6:$K$985, 'Dev 조치사항'!$D$6:$D$985, D24)), 0))</f>
        <v>정상</v>
      </c>
      <c r="J24" s="12" t="str">
        <f t="array" ref="J24">IF(
  INDEX('Dev 조치사항'!$J$6:$J$985,
    MATCH(1,
      ('Dev 조치사항'!$D$6:$D$985=D24)*
      ('Dev 조치사항'!$K$6:$K$985=_xlfn.MAXIFS('Dev 조치사항'!$K$6:$K$985, 'Dev 조치사항'!$D$6:$D$985, D24)),
    0)
  ) = "",
  "-",
  INDEX('Dev 조치사항'!$J$6:$J$985,
    MATCH(1,
      ('Dev 조치사항'!$D$6:$D$985=D24)*
      ('Dev 조치사항'!$K$6:$K$985=_xlfn.MAXIFS('Dev 조치사항'!$K$6:$K$985, 'Dev 조치사항'!$D$6:$D$985, D24)),
    0)
  )
)</f>
        <v>-</v>
      </c>
      <c r="K24" s="39">
        <f>_xlfn.MAXIFS('Dev 조치사항'!$K$6:$K$985, 'Dev 조치사항'!$D$6:$D$985, D24)</f>
        <v>46323</v>
      </c>
    </row>
    <row r="25" spans="1:11" x14ac:dyDescent="0.3">
      <c r="A25" s="40"/>
      <c r="B25" s="26" t="s">
        <v>51</v>
      </c>
      <c r="C25" s="1" t="s">
        <v>26</v>
      </c>
      <c r="D25" s="1" t="s">
        <v>52</v>
      </c>
      <c r="E25" s="2" t="s">
        <v>184</v>
      </c>
      <c r="F25" s="3" t="s">
        <v>185</v>
      </c>
      <c r="G25" s="2" t="s">
        <v>186</v>
      </c>
      <c r="H25" s="37" t="str">
        <f t="array" ref="H25">INDEX('Dev 조치사항'!$H$6:$H$985, MATCH(1, ('Dev 조치사항'!$D$6:$D$985=D25)*('Dev 조치사항'!$K$6:$K$985=_xlfn.MAXIFS('Dev 조치사항'!$K$6:$K$985, 'Dev 조치사항'!$D$6:$D$985, D25)), 0))</f>
        <v>최신영</v>
      </c>
      <c r="I25" s="38" t="str">
        <f t="array" ref="I25">INDEX('Dev 조치사항'!$I$6:$I$985, MATCH(1, ('Dev 조치사항'!$D$6:$D$985=D25)*('Dev 조치사항'!$K$6:$K$985=_xlfn.MAXIFS('Dev 조치사항'!$K$6:$K$985, 'Dev 조치사항'!$D$6:$D$985, D25)), 0))</f>
        <v>정상</v>
      </c>
      <c r="J25" s="12" t="str">
        <f t="array" ref="J25">IF(
  INDEX('Dev 조치사항'!$J$6:$J$985,
    MATCH(1,
      ('Dev 조치사항'!$D$6:$D$985=D25)*
      ('Dev 조치사항'!$K$6:$K$985=_xlfn.MAXIFS('Dev 조치사항'!$K$6:$K$985, 'Dev 조치사항'!$D$6:$D$985, D25)),
    0)
  ) = "",
  "-",
  INDEX('Dev 조치사항'!$J$6:$J$985,
    MATCH(1,
      ('Dev 조치사항'!$D$6:$D$985=D25)*
      ('Dev 조치사항'!$K$6:$K$985=_xlfn.MAXIFS('Dev 조치사항'!$K$6:$K$985, 'Dev 조치사항'!$D$6:$D$985, D25)),
    0)
  )
)</f>
        <v>-</v>
      </c>
      <c r="K25" s="39">
        <f>_xlfn.MAXIFS('Dev 조치사항'!$K$6:$K$985, 'Dev 조치사항'!$D$6:$D$985, D25)</f>
        <v>46322</v>
      </c>
    </row>
    <row r="26" spans="1:11" x14ac:dyDescent="0.3">
      <c r="A26" s="40"/>
      <c r="B26" s="40"/>
      <c r="C26" s="26" t="s">
        <v>51</v>
      </c>
      <c r="D26" s="1" t="s">
        <v>53</v>
      </c>
      <c r="E26" s="2" t="s">
        <v>187</v>
      </c>
      <c r="F26" s="3" t="s">
        <v>188</v>
      </c>
      <c r="G26" s="2" t="s">
        <v>189</v>
      </c>
      <c r="H26" s="37" t="str">
        <f t="array" ref="H26">INDEX('Dev 조치사항'!$H$6:$H$985, MATCH(1, ('Dev 조치사항'!$D$6:$D$985=D26)*('Dev 조치사항'!$K$6:$K$985=_xlfn.MAXIFS('Dev 조치사항'!$K$6:$K$985, 'Dev 조치사항'!$D$6:$D$985, D26)), 0))</f>
        <v>최신영</v>
      </c>
      <c r="I26" s="38" t="str">
        <f t="array" ref="I26">INDEX('Dev 조치사항'!$I$6:$I$985, MATCH(1, ('Dev 조치사항'!$D$6:$D$985=D26)*('Dev 조치사항'!$K$6:$K$985=_xlfn.MAXIFS('Dev 조치사항'!$K$6:$K$985, 'Dev 조치사항'!$D$6:$D$985, D26)), 0))</f>
        <v>정상</v>
      </c>
      <c r="J26" s="12" t="str">
        <f t="array" ref="J26">IF(
  INDEX('Dev 조치사항'!$J$6:$J$985,
    MATCH(1,
      ('Dev 조치사항'!$D$6:$D$985=D26)*
      ('Dev 조치사항'!$K$6:$K$985=_xlfn.MAXIFS('Dev 조치사항'!$K$6:$K$985, 'Dev 조치사항'!$D$6:$D$985, D26)),
    0)
  ) = "",
  "-",
  INDEX('Dev 조치사항'!$J$6:$J$985,
    MATCH(1,
      ('Dev 조치사항'!$D$6:$D$985=D26)*
      ('Dev 조치사항'!$K$6:$K$985=_xlfn.MAXIFS('Dev 조치사항'!$K$6:$K$985, 'Dev 조치사항'!$D$6:$D$985, D26)),
    0)
  )
)</f>
        <v>-</v>
      </c>
      <c r="K26" s="39">
        <f>_xlfn.MAXIFS('Dev 조치사항'!$K$6:$K$985, 'Dev 조치사항'!$D$6:$D$985, D26)</f>
        <v>46322</v>
      </c>
    </row>
    <row r="27" spans="1:11" ht="66" x14ac:dyDescent="0.3">
      <c r="A27" s="40"/>
      <c r="B27" s="40"/>
      <c r="C27" s="40"/>
      <c r="D27" s="1" t="s">
        <v>54</v>
      </c>
      <c r="E27" s="2" t="s">
        <v>190</v>
      </c>
      <c r="F27" s="3" t="s">
        <v>191</v>
      </c>
      <c r="G27" s="2" t="s">
        <v>192</v>
      </c>
      <c r="H27" s="37" t="str">
        <f t="array" ref="H27">INDEX('Dev 조치사항'!$H$6:$H$985, MATCH(1, ('Dev 조치사항'!$D$6:$D$985=D27)*('Dev 조치사항'!$K$6:$K$985=_xlfn.MAXIFS('Dev 조치사항'!$K$6:$K$985, 'Dev 조치사항'!$D$6:$D$985, D27)), 0))</f>
        <v>최신영</v>
      </c>
      <c r="I27" s="38" t="str">
        <f t="array" ref="I27">INDEX('Dev 조치사항'!$I$6:$I$985, MATCH(1, ('Dev 조치사항'!$D$6:$D$985=D27)*('Dev 조치사항'!$K$6:$K$985=_xlfn.MAXIFS('Dev 조치사항'!$K$6:$K$985, 'Dev 조치사항'!$D$6:$D$985, D27)), 0))</f>
        <v>정상</v>
      </c>
      <c r="J27" s="12" t="str">
        <f t="array" ref="J27">IF(
  INDEX('Dev 조치사항'!$J$6:$J$985,
    MATCH(1,
      ('Dev 조치사항'!$D$6:$D$985=D27)*
      ('Dev 조치사항'!$K$6:$K$985=_xlfn.MAXIFS('Dev 조치사항'!$K$6:$K$985, 'Dev 조치사항'!$D$6:$D$985, D27)),
    0)
  ) = "",
  "-",
  INDEX('Dev 조치사항'!$J$6:$J$985,
    MATCH(1,
      ('Dev 조치사항'!$D$6:$D$985=D27)*
      ('Dev 조치사항'!$K$6:$K$985=_xlfn.MAXIFS('Dev 조치사항'!$K$6:$K$985, 'Dev 조치사항'!$D$6:$D$985, D27)),
    0)
  )
)</f>
        <v>-</v>
      </c>
      <c r="K27" s="39">
        <f>_xlfn.MAXIFS('Dev 조치사항'!$K$6:$K$985, 'Dev 조치사항'!$D$6:$D$985, D27)</f>
        <v>46322</v>
      </c>
    </row>
    <row r="28" spans="1:11" x14ac:dyDescent="0.3">
      <c r="A28" s="40"/>
      <c r="B28" s="40"/>
      <c r="C28" s="40"/>
      <c r="D28" s="1" t="s">
        <v>55</v>
      </c>
      <c r="E28" s="2" t="s">
        <v>193</v>
      </c>
      <c r="F28" s="3" t="s">
        <v>194</v>
      </c>
      <c r="G28" s="2" t="s">
        <v>195</v>
      </c>
      <c r="H28" s="37" t="str">
        <f t="array" ref="H28">INDEX('Dev 조치사항'!$H$6:$H$985, MATCH(1, ('Dev 조치사항'!$D$6:$D$985=D28)*('Dev 조치사항'!$K$6:$K$985=_xlfn.MAXIFS('Dev 조치사항'!$K$6:$K$985, 'Dev 조치사항'!$D$6:$D$985, D28)), 0))</f>
        <v>최신영</v>
      </c>
      <c r="I28" s="38" t="str">
        <f t="array" ref="I28">INDEX('Dev 조치사항'!$I$6:$I$985, MATCH(1, ('Dev 조치사항'!$D$6:$D$985=D28)*('Dev 조치사항'!$K$6:$K$985=_xlfn.MAXIFS('Dev 조치사항'!$K$6:$K$985, 'Dev 조치사항'!$D$6:$D$985, D28)), 0))</f>
        <v>정상</v>
      </c>
      <c r="J28" s="12" t="str">
        <f t="array" ref="J28">IF(
  INDEX('Dev 조치사항'!$J$6:$J$985,
    MATCH(1,
      ('Dev 조치사항'!$D$6:$D$985=D28)*
      ('Dev 조치사항'!$K$6:$K$985=_xlfn.MAXIFS('Dev 조치사항'!$K$6:$K$985, 'Dev 조치사항'!$D$6:$D$985, D28)),
    0)
  ) = "",
  "-",
  INDEX('Dev 조치사항'!$J$6:$J$985,
    MATCH(1,
      ('Dev 조치사항'!$D$6:$D$985=D28)*
      ('Dev 조치사항'!$K$6:$K$985=_xlfn.MAXIFS('Dev 조치사항'!$K$6:$K$985, 'Dev 조치사항'!$D$6:$D$985, D28)),
    0)
  )
)</f>
        <v>-</v>
      </c>
      <c r="K28" s="39">
        <f>_xlfn.MAXIFS('Dev 조치사항'!$K$6:$K$985, 'Dev 조치사항'!$D$6:$D$985, D28)</f>
        <v>46322</v>
      </c>
    </row>
    <row r="29" spans="1:11" x14ac:dyDescent="0.3">
      <c r="A29" s="40"/>
      <c r="B29" s="40"/>
      <c r="C29" s="40"/>
      <c r="D29" s="1" t="s">
        <v>56</v>
      </c>
      <c r="E29" s="2" t="s">
        <v>196</v>
      </c>
      <c r="F29" s="3" t="s">
        <v>197</v>
      </c>
      <c r="G29" s="2" t="s">
        <v>198</v>
      </c>
      <c r="H29" s="37" t="str">
        <f t="array" ref="H29">INDEX('Dev 조치사항'!$H$6:$H$985, MATCH(1, ('Dev 조치사항'!$D$6:$D$985=D29)*('Dev 조치사항'!$K$6:$K$985=_xlfn.MAXIFS('Dev 조치사항'!$K$6:$K$985, 'Dev 조치사항'!$D$6:$D$985, D29)), 0))</f>
        <v>최신영</v>
      </c>
      <c r="I29" s="38" t="str">
        <f t="array" ref="I29">INDEX('Dev 조치사항'!$I$6:$I$985, MATCH(1, ('Dev 조치사항'!$D$6:$D$985=D29)*('Dev 조치사항'!$K$6:$K$985=_xlfn.MAXIFS('Dev 조치사항'!$K$6:$K$985, 'Dev 조치사항'!$D$6:$D$985, D29)), 0))</f>
        <v>정상</v>
      </c>
      <c r="J29" s="12" t="str">
        <f t="array" ref="J29">IF(
  INDEX('Dev 조치사항'!$J$6:$J$985,
    MATCH(1,
      ('Dev 조치사항'!$D$6:$D$985=D29)*
      ('Dev 조치사항'!$K$6:$K$985=_xlfn.MAXIFS('Dev 조치사항'!$K$6:$K$985, 'Dev 조치사항'!$D$6:$D$985, D29)),
    0)
  ) = "",
  "-",
  INDEX('Dev 조치사항'!$J$6:$J$985,
    MATCH(1,
      ('Dev 조치사항'!$D$6:$D$985=D29)*
      ('Dev 조치사항'!$K$6:$K$985=_xlfn.MAXIFS('Dev 조치사항'!$K$6:$K$985, 'Dev 조치사항'!$D$6:$D$985, D29)),
    0)
  )
)</f>
        <v>-</v>
      </c>
      <c r="K29" s="39">
        <f>_xlfn.MAXIFS('Dev 조치사항'!$K$6:$K$985, 'Dev 조치사항'!$D$6:$D$985, D29)</f>
        <v>46322</v>
      </c>
    </row>
    <row r="30" spans="1:11" x14ac:dyDescent="0.3">
      <c r="A30" s="40"/>
      <c r="B30" s="41"/>
      <c r="C30" s="41"/>
      <c r="D30" s="1" t="s">
        <v>57</v>
      </c>
      <c r="E30" s="2" t="s">
        <v>199</v>
      </c>
      <c r="F30" s="3" t="s">
        <v>200</v>
      </c>
      <c r="G30" s="2" t="s">
        <v>201</v>
      </c>
      <c r="H30" s="37" t="str">
        <f t="array" ref="H30">INDEX('Dev 조치사항'!$H$6:$H$985, MATCH(1, ('Dev 조치사항'!$D$6:$D$985=D30)*('Dev 조치사항'!$K$6:$K$985=_xlfn.MAXIFS('Dev 조치사항'!$K$6:$K$985, 'Dev 조치사항'!$D$6:$D$985, D30)), 0))</f>
        <v>최신영</v>
      </c>
      <c r="I30" s="38" t="str">
        <f t="array" ref="I30">INDEX('Dev 조치사항'!$I$6:$I$985, MATCH(1, ('Dev 조치사항'!$D$6:$D$985=D30)*('Dev 조치사항'!$K$6:$K$985=_xlfn.MAXIFS('Dev 조치사항'!$K$6:$K$985, 'Dev 조치사항'!$D$6:$D$985, D30)), 0))</f>
        <v>정상</v>
      </c>
      <c r="J30" s="12" t="str">
        <f t="array" ref="J30">IF(
  INDEX('Dev 조치사항'!$J$6:$J$985,
    MATCH(1,
      ('Dev 조치사항'!$D$6:$D$985=D30)*
      ('Dev 조치사항'!$K$6:$K$985=_xlfn.MAXIFS('Dev 조치사항'!$K$6:$K$985, 'Dev 조치사항'!$D$6:$D$985, D30)),
    0)
  ) = "",
  "-",
  INDEX('Dev 조치사항'!$J$6:$J$985,
    MATCH(1,
      ('Dev 조치사항'!$D$6:$D$985=D30)*
      ('Dev 조치사항'!$K$6:$K$985=_xlfn.MAXIFS('Dev 조치사항'!$K$6:$K$985, 'Dev 조치사항'!$D$6:$D$985, D30)),
    0)
  )
)</f>
        <v>-</v>
      </c>
      <c r="K30" s="39">
        <f>_xlfn.MAXIFS('Dev 조치사항'!$K$6:$K$985, 'Dev 조치사항'!$D$6:$D$985, D30)</f>
        <v>46322</v>
      </c>
    </row>
    <row r="31" spans="1:11" ht="27" x14ac:dyDescent="0.3">
      <c r="A31" s="40"/>
      <c r="B31" s="1" t="s">
        <v>58</v>
      </c>
      <c r="C31" s="1" t="s">
        <v>18</v>
      </c>
      <c r="D31" s="1" t="s">
        <v>59</v>
      </c>
      <c r="E31" s="2" t="s">
        <v>202</v>
      </c>
      <c r="F31" s="3" t="s">
        <v>203</v>
      </c>
      <c r="G31" s="2" t="s">
        <v>204</v>
      </c>
      <c r="H31" s="37" t="str">
        <f t="array" ref="H31">INDEX('Dev 조치사항'!$H$6:$H$985, MATCH(1, ('Dev 조치사항'!$D$6:$D$985=D31)*('Dev 조치사항'!$K$6:$K$985=_xlfn.MAXIFS('Dev 조치사항'!$K$6:$K$985, 'Dev 조치사항'!$D$6:$D$985, D31)), 0))</f>
        <v>최신영</v>
      </c>
      <c r="I31" s="38" t="str">
        <f t="array" ref="I31">INDEX('Dev 조치사항'!$I$6:$I$985, MATCH(1, ('Dev 조치사항'!$D$6:$D$985=D31)*('Dev 조치사항'!$K$6:$K$985=_xlfn.MAXIFS('Dev 조치사항'!$K$6:$K$985, 'Dev 조치사항'!$D$6:$D$985, D31)), 0))</f>
        <v>정상</v>
      </c>
      <c r="J31" s="12" t="str">
        <f t="array" ref="J31">IF(
  INDEX('Dev 조치사항'!$J$6:$J$985,
    MATCH(1,
      ('Dev 조치사항'!$D$6:$D$985=D31)*
      ('Dev 조치사항'!$K$6:$K$985=_xlfn.MAXIFS('Dev 조치사항'!$K$6:$K$985, 'Dev 조치사항'!$D$6:$D$985, D31)),
    0)
  ) = "",
  "-",
  INDEX('Dev 조치사항'!$J$6:$J$985,
    MATCH(1,
      ('Dev 조치사항'!$D$6:$D$985=D31)*
      ('Dev 조치사항'!$K$6:$K$985=_xlfn.MAXIFS('Dev 조치사항'!$K$6:$K$985, 'Dev 조치사항'!$D$6:$D$985, D31)),
    0)
  )
)</f>
        <v>-</v>
      </c>
      <c r="K31" s="39">
        <f>_xlfn.MAXIFS('Dev 조치사항'!$K$6:$K$985, 'Dev 조치사항'!$D$6:$D$985, D31)</f>
        <v>46322</v>
      </c>
    </row>
    <row r="32" spans="1:11" ht="40.5" x14ac:dyDescent="0.3">
      <c r="A32" s="40"/>
      <c r="B32" s="1" t="s">
        <v>60</v>
      </c>
      <c r="C32" s="1" t="s">
        <v>18</v>
      </c>
      <c r="D32" s="1" t="s">
        <v>61</v>
      </c>
      <c r="E32" s="2" t="s">
        <v>205</v>
      </c>
      <c r="F32" s="3" t="s">
        <v>203</v>
      </c>
      <c r="G32" s="2" t="s">
        <v>206</v>
      </c>
      <c r="H32" s="37" t="str">
        <f t="array" ref="H32">INDEX('Dev 조치사항'!$H$6:$H$985, MATCH(1, ('Dev 조치사항'!$D$6:$D$985=D32)*('Dev 조치사항'!$K$6:$K$985=_xlfn.MAXIFS('Dev 조치사항'!$K$6:$K$985, 'Dev 조치사항'!$D$6:$D$985, D32)), 0))</f>
        <v>최신영</v>
      </c>
      <c r="I32" s="38" t="str">
        <f t="array" ref="I32">INDEX('Dev 조치사항'!$I$6:$I$985, MATCH(1, ('Dev 조치사항'!$D$6:$D$985=D32)*('Dev 조치사항'!$K$6:$K$985=_xlfn.MAXIFS('Dev 조치사항'!$K$6:$K$985, 'Dev 조치사항'!$D$6:$D$985, D32)), 0))</f>
        <v>정상</v>
      </c>
      <c r="J32" s="12" t="str">
        <f t="array" ref="J32">IF(
  INDEX('Dev 조치사항'!$J$6:$J$985,
    MATCH(1,
      ('Dev 조치사항'!$D$6:$D$985=D32)*
      ('Dev 조치사항'!$K$6:$K$985=_xlfn.MAXIFS('Dev 조치사항'!$K$6:$K$985, 'Dev 조치사항'!$D$6:$D$985, D32)),
    0)
  ) = "",
  "-",
  INDEX('Dev 조치사항'!$J$6:$J$985,
    MATCH(1,
      ('Dev 조치사항'!$D$6:$D$985=D32)*
      ('Dev 조치사항'!$K$6:$K$985=_xlfn.MAXIFS('Dev 조치사항'!$K$6:$K$985, 'Dev 조치사항'!$D$6:$D$985, D32)),
    0)
  )
)</f>
        <v>-</v>
      </c>
      <c r="K32" s="39">
        <f>_xlfn.MAXIFS('Dev 조치사항'!$K$6:$K$985, 'Dev 조치사항'!$D$6:$D$985, D32)</f>
        <v>46322</v>
      </c>
    </row>
    <row r="33" spans="1:11" ht="27" x14ac:dyDescent="0.3">
      <c r="A33" s="40"/>
      <c r="B33" s="1" t="s">
        <v>62</v>
      </c>
      <c r="C33" s="1" t="s">
        <v>18</v>
      </c>
      <c r="D33" s="1" t="s">
        <v>63</v>
      </c>
      <c r="E33" s="2" t="s">
        <v>207</v>
      </c>
      <c r="F33" s="3" t="s">
        <v>203</v>
      </c>
      <c r="G33" s="2" t="s">
        <v>208</v>
      </c>
      <c r="H33" s="37" t="str">
        <f t="array" ref="H33">INDEX('Dev 조치사항'!$H$6:$H$985, MATCH(1, ('Dev 조치사항'!$D$6:$D$985=D33)*('Dev 조치사항'!$K$6:$K$985=_xlfn.MAXIFS('Dev 조치사항'!$K$6:$K$985, 'Dev 조치사항'!$D$6:$D$985, D33)), 0))</f>
        <v>최신영</v>
      </c>
      <c r="I33" s="38" t="str">
        <f t="array" ref="I33">INDEX('Dev 조치사항'!$I$6:$I$985, MATCH(1, ('Dev 조치사항'!$D$6:$D$985=D33)*('Dev 조치사항'!$K$6:$K$985=_xlfn.MAXIFS('Dev 조치사항'!$K$6:$K$985, 'Dev 조치사항'!$D$6:$D$985, D33)), 0))</f>
        <v>정상</v>
      </c>
      <c r="J33" s="12" t="str">
        <f t="array" ref="J33">IF(
  INDEX('Dev 조치사항'!$J$6:$J$985,
    MATCH(1,
      ('Dev 조치사항'!$D$6:$D$985=D33)*
      ('Dev 조치사항'!$K$6:$K$985=_xlfn.MAXIFS('Dev 조치사항'!$K$6:$K$985, 'Dev 조치사항'!$D$6:$D$985, D33)),
    0)
  ) = "",
  "-",
  INDEX('Dev 조치사항'!$J$6:$J$985,
    MATCH(1,
      ('Dev 조치사항'!$D$6:$D$985=D33)*
      ('Dev 조치사항'!$K$6:$K$985=_xlfn.MAXIFS('Dev 조치사항'!$K$6:$K$985, 'Dev 조치사항'!$D$6:$D$985, D33)),
    0)
  )
)</f>
        <v>-</v>
      </c>
      <c r="K33" s="39">
        <f>_xlfn.MAXIFS('Dev 조치사항'!$K$6:$K$985, 'Dev 조치사항'!$D$6:$D$985, D33)</f>
        <v>46322</v>
      </c>
    </row>
    <row r="34" spans="1:11" ht="27" x14ac:dyDescent="0.3">
      <c r="A34" s="40"/>
      <c r="B34" s="1" t="s">
        <v>64</v>
      </c>
      <c r="C34" s="1" t="s">
        <v>18</v>
      </c>
      <c r="D34" s="1" t="s">
        <v>65</v>
      </c>
      <c r="E34" s="2" t="s">
        <v>209</v>
      </c>
      <c r="F34" s="3" t="s">
        <v>203</v>
      </c>
      <c r="G34" s="2" t="s">
        <v>210</v>
      </c>
      <c r="H34" s="37" t="str">
        <f t="array" ref="H34">INDEX('Dev 조치사항'!$H$6:$H$985, MATCH(1, ('Dev 조치사항'!$D$6:$D$985=D34)*('Dev 조치사항'!$K$6:$K$985=_xlfn.MAXIFS('Dev 조치사항'!$K$6:$K$985, 'Dev 조치사항'!$D$6:$D$985, D34)), 0))</f>
        <v>최신영</v>
      </c>
      <c r="I34" s="38" t="str">
        <f t="array" ref="I34">INDEX('Dev 조치사항'!$I$6:$I$985, MATCH(1, ('Dev 조치사항'!$D$6:$D$985=D34)*('Dev 조치사항'!$K$6:$K$985=_xlfn.MAXIFS('Dev 조치사항'!$K$6:$K$985, 'Dev 조치사항'!$D$6:$D$985, D34)), 0))</f>
        <v>정상</v>
      </c>
      <c r="J34" s="12" t="str">
        <f t="array" ref="J34">IF(
  INDEX('Dev 조치사항'!$J$6:$J$985,
    MATCH(1,
      ('Dev 조치사항'!$D$6:$D$985=D34)*
      ('Dev 조치사항'!$K$6:$K$985=_xlfn.MAXIFS('Dev 조치사항'!$K$6:$K$985, 'Dev 조치사항'!$D$6:$D$985, D34)),
    0)
  ) = "",
  "-",
  INDEX('Dev 조치사항'!$J$6:$J$985,
    MATCH(1,
      ('Dev 조치사항'!$D$6:$D$985=D34)*
      ('Dev 조치사항'!$K$6:$K$985=_xlfn.MAXIFS('Dev 조치사항'!$K$6:$K$985, 'Dev 조치사항'!$D$6:$D$985, D34)),
    0)
  )
)</f>
        <v>-</v>
      </c>
      <c r="K34" s="39">
        <f>_xlfn.MAXIFS('Dev 조치사항'!$K$6:$K$985, 'Dev 조치사항'!$D$6:$D$985, D34)</f>
        <v>46322</v>
      </c>
    </row>
    <row r="35" spans="1:11" ht="27" x14ac:dyDescent="0.3">
      <c r="A35" s="40"/>
      <c r="B35" s="1" t="s">
        <v>66</v>
      </c>
      <c r="C35" s="1" t="s">
        <v>18</v>
      </c>
      <c r="D35" s="1" t="s">
        <v>67</v>
      </c>
      <c r="E35" s="2" t="s">
        <v>211</v>
      </c>
      <c r="F35" s="3" t="s">
        <v>203</v>
      </c>
      <c r="G35" s="2" t="s">
        <v>212</v>
      </c>
      <c r="H35" s="37" t="str">
        <f t="array" ref="H35">INDEX('Dev 조치사항'!$H$6:$H$985, MATCH(1, ('Dev 조치사항'!$D$6:$D$985=D35)*('Dev 조치사항'!$K$6:$K$985=_xlfn.MAXIFS('Dev 조치사항'!$K$6:$K$985, 'Dev 조치사항'!$D$6:$D$985, D35)), 0))</f>
        <v>최신영</v>
      </c>
      <c r="I35" s="38" t="str">
        <f t="array" ref="I35">INDEX('Dev 조치사항'!$I$6:$I$985, MATCH(1, ('Dev 조치사항'!$D$6:$D$985=D35)*('Dev 조치사항'!$K$6:$K$985=_xlfn.MAXIFS('Dev 조치사항'!$K$6:$K$985, 'Dev 조치사항'!$D$6:$D$985, D35)), 0))</f>
        <v>정상</v>
      </c>
      <c r="J35" s="12" t="str">
        <f t="array" ref="J35">IF(
  INDEX('Dev 조치사항'!$J$6:$J$985,
    MATCH(1,
      ('Dev 조치사항'!$D$6:$D$985=D35)*
      ('Dev 조치사항'!$K$6:$K$985=_xlfn.MAXIFS('Dev 조치사항'!$K$6:$K$985, 'Dev 조치사항'!$D$6:$D$985, D35)),
    0)
  ) = "",
  "-",
  INDEX('Dev 조치사항'!$J$6:$J$985,
    MATCH(1,
      ('Dev 조치사항'!$D$6:$D$985=D35)*
      ('Dev 조치사항'!$K$6:$K$985=_xlfn.MAXIFS('Dev 조치사항'!$K$6:$K$985, 'Dev 조치사항'!$D$6:$D$985, D35)),
    0)
  )
)</f>
        <v>-</v>
      </c>
      <c r="K35" s="39">
        <f>_xlfn.MAXIFS('Dev 조치사항'!$K$6:$K$985, 'Dev 조치사항'!$D$6:$D$985, D35)</f>
        <v>46322</v>
      </c>
    </row>
    <row r="36" spans="1:11" ht="99" x14ac:dyDescent="0.3">
      <c r="A36" s="40"/>
      <c r="B36" s="1" t="s">
        <v>68</v>
      </c>
      <c r="C36" s="1" t="s">
        <v>18</v>
      </c>
      <c r="D36" s="1" t="s">
        <v>69</v>
      </c>
      <c r="E36" s="2" t="s">
        <v>213</v>
      </c>
      <c r="F36" s="3" t="s">
        <v>203</v>
      </c>
      <c r="G36" s="2" t="s">
        <v>214</v>
      </c>
      <c r="H36" s="37" t="str">
        <f t="array" ref="H36">INDEX('Dev 조치사항'!$H$6:$H$985, MATCH(1, ('Dev 조치사항'!$D$6:$D$985=D36)*('Dev 조치사항'!$K$6:$K$985=_xlfn.MAXIFS('Dev 조치사항'!$K$6:$K$985, 'Dev 조치사항'!$D$6:$D$985, D36)), 0))</f>
        <v>최신영</v>
      </c>
      <c r="I36" s="38" t="str">
        <f t="array" ref="I36">INDEX('Dev 조치사항'!$I$6:$I$985, MATCH(1, ('Dev 조치사항'!$D$6:$D$985=D36)*('Dev 조치사항'!$K$6:$K$985=_xlfn.MAXIFS('Dev 조치사항'!$K$6:$K$985, 'Dev 조치사항'!$D$6:$D$985, D36)), 0))</f>
        <v>정상</v>
      </c>
      <c r="J36" s="12" t="str">
        <f t="array" ref="J36">IF(
  INDEX('Dev 조치사항'!$J$6:$J$985,
    MATCH(1,
      ('Dev 조치사항'!$D$6:$D$985=D36)*
      ('Dev 조치사항'!$K$6:$K$985=_xlfn.MAXIFS('Dev 조치사항'!$K$6:$K$985, 'Dev 조치사항'!$D$6:$D$985, D36)),
    0)
  ) = "",
  "-",
  INDEX('Dev 조치사항'!$J$6:$J$985,
    MATCH(1,
      ('Dev 조치사항'!$D$6:$D$985=D36)*
      ('Dev 조치사항'!$K$6:$K$985=_xlfn.MAXIFS('Dev 조치사항'!$K$6:$K$985, 'Dev 조치사항'!$D$6:$D$985, D36)),
    0)
  )
)</f>
        <v>[개선] [oracle·mssql] 정기수리계획 기존 작업 상세 [승인요청] → 결재대기·요청내역의 요청타입이 "작업결과"로 표시됨 (결재·결재완료는 정상).
→ 명칭을 "작업계획서"로 (2026-10-28 사용자: 명칭만 바꾸면 되어 개선)</v>
      </c>
      <c r="K36" s="39">
        <f>_xlfn.MAXIFS('Dev 조치사항'!$K$6:$K$985, 'Dev 조치사항'!$D$6:$D$985, D36)</f>
        <v>46323</v>
      </c>
    </row>
    <row r="37" spans="1:11" ht="40.5" x14ac:dyDescent="0.3">
      <c r="A37" s="40"/>
      <c r="B37" s="1" t="s">
        <v>72</v>
      </c>
      <c r="C37" s="1" t="s">
        <v>18</v>
      </c>
      <c r="D37" s="1" t="s">
        <v>73</v>
      </c>
      <c r="E37" s="2" t="s">
        <v>215</v>
      </c>
      <c r="F37" s="3" t="s">
        <v>203</v>
      </c>
      <c r="G37" s="2" t="s">
        <v>216</v>
      </c>
      <c r="H37" s="37" t="str">
        <f t="array" ref="H37">INDEX('Dev 조치사항'!$H$6:$H$985, MATCH(1, ('Dev 조치사항'!$D$6:$D$985=D37)*('Dev 조치사항'!$K$6:$K$985=_xlfn.MAXIFS('Dev 조치사항'!$K$6:$K$985, 'Dev 조치사항'!$D$6:$D$985, D37)), 0))</f>
        <v>최신영</v>
      </c>
      <c r="I37" s="38" t="str">
        <f t="array" ref="I37">INDEX('Dev 조치사항'!$I$6:$I$985, MATCH(1, ('Dev 조치사항'!$D$6:$D$985=D37)*('Dev 조치사항'!$K$6:$K$985=_xlfn.MAXIFS('Dev 조치사항'!$K$6:$K$985, 'Dev 조치사항'!$D$6:$D$985, D37)), 0))</f>
        <v>정상</v>
      </c>
      <c r="J37" s="12" t="str">
        <f t="array" ref="J37">IF(
  INDEX('Dev 조치사항'!$J$6:$J$985,
    MATCH(1,
      ('Dev 조치사항'!$D$6:$D$985=D37)*
      ('Dev 조치사항'!$K$6:$K$985=_xlfn.MAXIFS('Dev 조치사항'!$K$6:$K$985, 'Dev 조치사항'!$D$6:$D$985, D37)),
    0)
  ) = "",
  "-",
  INDEX('Dev 조치사항'!$J$6:$J$985,
    MATCH(1,
      ('Dev 조치사항'!$D$6:$D$985=D37)*
      ('Dev 조치사항'!$K$6:$K$985=_xlfn.MAXIFS('Dev 조치사항'!$K$6:$K$985, 'Dev 조치사항'!$D$6:$D$985, D37)),
    0)
  )
)</f>
        <v>-</v>
      </c>
      <c r="K37" s="39">
        <f>_xlfn.MAXIFS('Dev 조치사항'!$K$6:$K$985, 'Dev 조치사항'!$D$6:$D$985, D37)</f>
        <v>46322</v>
      </c>
    </row>
    <row r="38" spans="1:11" ht="27" x14ac:dyDescent="0.3">
      <c r="A38" s="40"/>
      <c r="B38" s="1" t="s">
        <v>74</v>
      </c>
      <c r="C38" s="1" t="s">
        <v>18</v>
      </c>
      <c r="D38" s="1" t="s">
        <v>75</v>
      </c>
      <c r="E38" s="2" t="s">
        <v>217</v>
      </c>
      <c r="F38" s="3" t="s">
        <v>203</v>
      </c>
      <c r="G38" s="2" t="s">
        <v>218</v>
      </c>
      <c r="H38" s="37" t="str">
        <f t="array" ref="H38">INDEX('Dev 조치사항'!$H$6:$H$985, MATCH(1, ('Dev 조치사항'!$D$6:$D$985=D38)*('Dev 조치사항'!$K$6:$K$985=_xlfn.MAXIFS('Dev 조치사항'!$K$6:$K$985, 'Dev 조치사항'!$D$6:$D$985, D38)), 0))</f>
        <v>최신영</v>
      </c>
      <c r="I38" s="38" t="str">
        <f t="array" ref="I38">INDEX('Dev 조치사항'!$I$6:$I$985, MATCH(1, ('Dev 조치사항'!$D$6:$D$985=D38)*('Dev 조치사항'!$K$6:$K$985=_xlfn.MAXIFS('Dev 조치사항'!$K$6:$K$985, 'Dev 조치사항'!$D$6:$D$985, D38)), 0))</f>
        <v>정상</v>
      </c>
      <c r="J38" s="12" t="str">
        <f t="array" ref="J38">IF(
  INDEX('Dev 조치사항'!$J$6:$J$985,
    MATCH(1,
      ('Dev 조치사항'!$D$6:$D$985=D38)*
      ('Dev 조치사항'!$K$6:$K$985=_xlfn.MAXIFS('Dev 조치사항'!$K$6:$K$985, 'Dev 조치사항'!$D$6:$D$985, D38)),
    0)
  ) = "",
  "-",
  INDEX('Dev 조치사항'!$J$6:$J$985,
    MATCH(1,
      ('Dev 조치사항'!$D$6:$D$985=D38)*
      ('Dev 조치사항'!$K$6:$K$985=_xlfn.MAXIFS('Dev 조치사항'!$K$6:$K$985, 'Dev 조치사항'!$D$6:$D$985, D38)),
    0)
  )
)</f>
        <v>-</v>
      </c>
      <c r="K38" s="39">
        <f>_xlfn.MAXIFS('Dev 조치사항'!$K$6:$K$985, 'Dev 조치사항'!$D$6:$D$985, D38)</f>
        <v>46322</v>
      </c>
    </row>
    <row r="39" spans="1:11" ht="27" x14ac:dyDescent="0.3">
      <c r="A39" s="40"/>
      <c r="B39" s="1" t="s">
        <v>76</v>
      </c>
      <c r="C39" s="1" t="s">
        <v>18</v>
      </c>
      <c r="D39" s="1" t="s">
        <v>77</v>
      </c>
      <c r="E39" s="2" t="s">
        <v>219</v>
      </c>
      <c r="F39" s="3" t="s">
        <v>203</v>
      </c>
      <c r="G39" s="2" t="s">
        <v>220</v>
      </c>
      <c r="H39" s="37" t="str">
        <f t="array" ref="H39">INDEX('Dev 조치사항'!$H$6:$H$985, MATCH(1, ('Dev 조치사항'!$D$6:$D$985=D39)*('Dev 조치사항'!$K$6:$K$985=_xlfn.MAXIFS('Dev 조치사항'!$K$6:$K$985, 'Dev 조치사항'!$D$6:$D$985, D39)), 0))</f>
        <v>최신영</v>
      </c>
      <c r="I39" s="38" t="str">
        <f t="array" ref="I39">INDEX('Dev 조치사항'!$I$6:$I$985, MATCH(1, ('Dev 조치사항'!$D$6:$D$985=D39)*('Dev 조치사항'!$K$6:$K$985=_xlfn.MAXIFS('Dev 조치사항'!$K$6:$K$985, 'Dev 조치사항'!$D$6:$D$985, D39)), 0))</f>
        <v>정상</v>
      </c>
      <c r="J39" s="12" t="str">
        <f t="array" ref="J39">IF(
  INDEX('Dev 조치사항'!$J$6:$J$985,
    MATCH(1,
      ('Dev 조치사항'!$D$6:$D$985=D39)*
      ('Dev 조치사항'!$K$6:$K$985=_xlfn.MAXIFS('Dev 조치사항'!$K$6:$K$985, 'Dev 조치사항'!$D$6:$D$985, D39)),
    0)
  ) = "",
  "-",
  INDEX('Dev 조치사항'!$J$6:$J$985,
    MATCH(1,
      ('Dev 조치사항'!$D$6:$D$985=D39)*
      ('Dev 조치사항'!$K$6:$K$985=_xlfn.MAXIFS('Dev 조치사항'!$K$6:$K$985, 'Dev 조치사항'!$D$6:$D$985, D39)),
    0)
  )
)</f>
        <v>-</v>
      </c>
      <c r="K39" s="39">
        <f>_xlfn.MAXIFS('Dev 조치사항'!$K$6:$K$985, 'Dev 조치사항'!$D$6:$D$985, D39)</f>
        <v>46322</v>
      </c>
    </row>
    <row r="40" spans="1:11" ht="27" x14ac:dyDescent="0.3">
      <c r="A40" s="40"/>
      <c r="B40" s="1" t="s">
        <v>78</v>
      </c>
      <c r="C40" s="1" t="s">
        <v>18</v>
      </c>
      <c r="D40" s="1" t="s">
        <v>79</v>
      </c>
      <c r="E40" s="2" t="s">
        <v>221</v>
      </c>
      <c r="F40" s="3" t="s">
        <v>222</v>
      </c>
      <c r="G40" s="2" t="s">
        <v>223</v>
      </c>
      <c r="H40" s="37" t="str">
        <f t="array" ref="H40">INDEX('Dev 조치사항'!$H$6:$H$985, MATCH(1, ('Dev 조치사항'!$D$6:$D$985=D40)*('Dev 조치사항'!$K$6:$K$985=_xlfn.MAXIFS('Dev 조치사항'!$K$6:$K$985, 'Dev 조치사항'!$D$6:$D$985, D40)), 0))</f>
        <v>최신영</v>
      </c>
      <c r="I40" s="38" t="str">
        <f t="array" ref="I40">INDEX('Dev 조치사항'!$I$6:$I$985, MATCH(1, ('Dev 조치사항'!$D$6:$D$985=D40)*('Dev 조치사항'!$K$6:$K$985=_xlfn.MAXIFS('Dev 조치사항'!$K$6:$K$985, 'Dev 조치사항'!$D$6:$D$985, D40)), 0))</f>
        <v>정상</v>
      </c>
      <c r="J40" s="12" t="str">
        <f t="array" ref="J40">IF(
  INDEX('Dev 조치사항'!$J$6:$J$985,
    MATCH(1,
      ('Dev 조치사항'!$D$6:$D$985=D40)*
      ('Dev 조치사항'!$K$6:$K$985=_xlfn.MAXIFS('Dev 조치사항'!$K$6:$K$985, 'Dev 조치사항'!$D$6:$D$985, D40)),
    0)
  ) = "",
  "-",
  INDEX('Dev 조치사항'!$J$6:$J$985,
    MATCH(1,
      ('Dev 조치사항'!$D$6:$D$985=D40)*
      ('Dev 조치사항'!$K$6:$K$985=_xlfn.MAXIFS('Dev 조치사항'!$K$6:$K$985, 'Dev 조치사항'!$D$6:$D$985, D40)),
    0)
  )
)</f>
        <v>-</v>
      </c>
      <c r="K40" s="39">
        <f>_xlfn.MAXIFS('Dev 조치사항'!$K$6:$K$985, 'Dev 조치사항'!$D$6:$D$985, D40)</f>
        <v>46322</v>
      </c>
    </row>
    <row r="41" spans="1:11" ht="132" x14ac:dyDescent="0.3">
      <c r="A41" s="40"/>
      <c r="B41" s="1" t="s">
        <v>80</v>
      </c>
      <c r="C41" s="1" t="s">
        <v>18</v>
      </c>
      <c r="D41" s="1" t="s">
        <v>81</v>
      </c>
      <c r="E41" s="2" t="s">
        <v>224</v>
      </c>
      <c r="F41" s="3" t="s">
        <v>222</v>
      </c>
      <c r="G41" s="2" t="s">
        <v>225</v>
      </c>
      <c r="H41" s="37" t="str">
        <f t="array" ref="H41">INDEX('Dev 조치사항'!$H$6:$H$985, MATCH(1, ('Dev 조치사항'!$D$6:$D$985=D41)*('Dev 조치사항'!$K$6:$K$985=_xlfn.MAXIFS('Dev 조치사항'!$K$6:$K$985, 'Dev 조치사항'!$D$6:$D$985, D41)), 0))</f>
        <v>최신영</v>
      </c>
      <c r="I41" s="38" t="str">
        <f t="array" ref="I41">INDEX('Dev 조치사항'!$I$6:$I$985, MATCH(1, ('Dev 조치사항'!$D$6:$D$985=D41)*('Dev 조치사항'!$K$6:$K$985=_xlfn.MAXIFS('Dev 조치사항'!$K$6:$K$985, 'Dev 조치사항'!$D$6:$D$985, D41)), 0))</f>
        <v>오류</v>
      </c>
      <c r="J41" s="12" t="str">
        <f t="array" ref="J41">IF(
  INDEX('Dev 조치사항'!$J$6:$J$985,
    MATCH(1,
      ('Dev 조치사항'!$D$6:$D$985=D41)*
      ('Dev 조치사항'!$K$6:$K$985=_xlfn.MAXIFS('Dev 조치사항'!$K$6:$K$985, 'Dev 조치사항'!$D$6:$D$985, D41)),
    0)
  ) = "",
  "-",
  INDEX('Dev 조치사항'!$J$6:$J$985,
    MATCH(1,
      ('Dev 조치사항'!$D$6:$D$985=D41)*
      ('Dev 조치사항'!$K$6:$K$985=_xlfn.MAXIFS('Dev 조치사항'!$K$6:$K$985, 'Dev 조치사항'!$D$6:$D$985, D41)),
    0)
  )
)</f>
        <v>[oracle·mssql] [다른 메뉴 오류: 계측기 제정, 별도 요청] 계측기 [생성] → Revision 제정 팝업에 계측기번호·계측기명 입력 → [저장] 후 상세에 값이 안 넘어와 [저장] 시 "계측기번호은(는) 필수입력항목 입니다." → 결재요청까지 못 감.
→ 기대: 팝업 값이 상세로 넘어와 저장·승인요청 가능</v>
      </c>
      <c r="K41" s="39">
        <f>_xlfn.MAXIFS('Dev 조치사항'!$K$6:$K$985, 'Dev 조치사항'!$D$6:$D$985, D41)</f>
        <v>46323</v>
      </c>
    </row>
    <row r="42" spans="1:11" ht="40.5" x14ac:dyDescent="0.3">
      <c r="A42" s="40"/>
      <c r="B42" s="1" t="s">
        <v>84</v>
      </c>
      <c r="C42" s="1" t="s">
        <v>18</v>
      </c>
      <c r="D42" s="1" t="s">
        <v>85</v>
      </c>
      <c r="E42" s="2" t="s">
        <v>226</v>
      </c>
      <c r="F42" s="3" t="s">
        <v>203</v>
      </c>
      <c r="G42" s="2" t="s">
        <v>227</v>
      </c>
      <c r="H42" s="37" t="str">
        <f t="array" ref="H42">INDEX('Dev 조치사항'!$H$6:$H$985, MATCH(1, ('Dev 조치사항'!$D$6:$D$985=D42)*('Dev 조치사항'!$K$6:$K$985=_xlfn.MAXIFS('Dev 조치사항'!$K$6:$K$985, 'Dev 조치사항'!$D$6:$D$985, D42)), 0))</f>
        <v>최신영</v>
      </c>
      <c r="I42" s="38" t="str">
        <f t="array" ref="I42">INDEX('Dev 조치사항'!$I$6:$I$985, MATCH(1, ('Dev 조치사항'!$D$6:$D$985=D42)*('Dev 조치사항'!$K$6:$K$985=_xlfn.MAXIFS('Dev 조치사항'!$K$6:$K$985, 'Dev 조치사항'!$D$6:$D$985, D42)), 0))</f>
        <v>정상</v>
      </c>
      <c r="J42" s="12" t="str">
        <f t="array" ref="J42">IF(
  INDEX('Dev 조치사항'!$J$6:$J$985,
    MATCH(1,
      ('Dev 조치사항'!$D$6:$D$985=D42)*
      ('Dev 조치사항'!$K$6:$K$985=_xlfn.MAXIFS('Dev 조치사항'!$K$6:$K$985, 'Dev 조치사항'!$D$6:$D$985, D42)),
    0)
  ) = "",
  "-",
  INDEX('Dev 조치사항'!$J$6:$J$985,
    MATCH(1,
      ('Dev 조치사항'!$D$6:$D$985=D42)*
      ('Dev 조치사항'!$K$6:$K$985=_xlfn.MAXIFS('Dev 조치사항'!$K$6:$K$985, 'Dev 조치사항'!$D$6:$D$985, D42)),
    0)
  )
)</f>
        <v>-</v>
      </c>
      <c r="K42" s="39">
        <f>_xlfn.MAXIFS('Dev 조치사항'!$K$6:$K$985, 'Dev 조치사항'!$D$6:$D$985, D42)</f>
        <v>46323</v>
      </c>
    </row>
    <row r="43" spans="1:11" ht="40.5" x14ac:dyDescent="0.3">
      <c r="A43" s="40"/>
      <c r="B43" s="1" t="s">
        <v>86</v>
      </c>
      <c r="C43" s="1" t="s">
        <v>18</v>
      </c>
      <c r="D43" s="1" t="s">
        <v>87</v>
      </c>
      <c r="E43" s="2" t="s">
        <v>228</v>
      </c>
      <c r="F43" s="3" t="s">
        <v>222</v>
      </c>
      <c r="G43" s="2" t="s">
        <v>229</v>
      </c>
      <c r="H43" s="37" t="str">
        <f t="array" ref="H43">INDEX('Dev 조치사항'!$H$6:$H$985, MATCH(1, ('Dev 조치사항'!$D$6:$D$985=D43)*('Dev 조치사항'!$K$6:$K$985=_xlfn.MAXIFS('Dev 조치사항'!$K$6:$K$985, 'Dev 조치사항'!$D$6:$D$985, D43)), 0))</f>
        <v>최신영</v>
      </c>
      <c r="I43" s="38" t="str">
        <f t="array" ref="I43">INDEX('Dev 조치사항'!$I$6:$I$985, MATCH(1, ('Dev 조치사항'!$D$6:$D$985=D43)*('Dev 조치사항'!$K$6:$K$985=_xlfn.MAXIFS('Dev 조치사항'!$K$6:$K$985, 'Dev 조치사항'!$D$6:$D$985, D43)), 0))</f>
        <v>정상</v>
      </c>
      <c r="J43" s="12" t="str">
        <f t="array" ref="J43">IF(
  INDEX('Dev 조치사항'!$J$6:$J$985,
    MATCH(1,
      ('Dev 조치사항'!$D$6:$D$985=D43)*
      ('Dev 조치사항'!$K$6:$K$985=_xlfn.MAXIFS('Dev 조치사항'!$K$6:$K$985, 'Dev 조치사항'!$D$6:$D$985, D43)),
    0)
  ) = "",
  "-",
  INDEX('Dev 조치사항'!$J$6:$J$985,
    MATCH(1,
      ('Dev 조치사항'!$D$6:$D$985=D43)*
      ('Dev 조치사항'!$K$6:$K$985=_xlfn.MAXIFS('Dev 조치사항'!$K$6:$K$985, 'Dev 조치사항'!$D$6:$D$985, D43)),
    0)
  )
)</f>
        <v>-</v>
      </c>
      <c r="K43" s="39">
        <f>_xlfn.MAXIFS('Dev 조치사항'!$K$6:$K$985, 'Dev 조치사항'!$D$6:$D$985, D43)</f>
        <v>46322</v>
      </c>
    </row>
    <row r="44" spans="1:11" ht="27" x14ac:dyDescent="0.3">
      <c r="A44" s="40"/>
      <c r="B44" s="1" t="s">
        <v>88</v>
      </c>
      <c r="C44" s="1" t="s">
        <v>18</v>
      </c>
      <c r="D44" s="1" t="s">
        <v>89</v>
      </c>
      <c r="E44" s="2" t="s">
        <v>230</v>
      </c>
      <c r="F44" s="3" t="s">
        <v>203</v>
      </c>
      <c r="G44" s="2" t="s">
        <v>231</v>
      </c>
      <c r="H44" s="37" t="str">
        <f t="array" ref="H44">INDEX('Dev 조치사항'!$H$6:$H$985, MATCH(1, ('Dev 조치사항'!$D$6:$D$985=D44)*('Dev 조치사항'!$K$6:$K$985=_xlfn.MAXIFS('Dev 조치사항'!$K$6:$K$985, 'Dev 조치사항'!$D$6:$D$985, D44)), 0))</f>
        <v>최신영</v>
      </c>
      <c r="I44" s="38" t="str">
        <f t="array" ref="I44">INDEX('Dev 조치사항'!$I$6:$I$985, MATCH(1, ('Dev 조치사항'!$D$6:$D$985=D44)*('Dev 조치사항'!$K$6:$K$985=_xlfn.MAXIFS('Dev 조치사항'!$K$6:$K$985, 'Dev 조치사항'!$D$6:$D$985, D44)), 0))</f>
        <v>정상</v>
      </c>
      <c r="J44" s="12" t="str">
        <f t="array" ref="J44">IF(
  INDEX('Dev 조치사항'!$J$6:$J$985,
    MATCH(1,
      ('Dev 조치사항'!$D$6:$D$985=D44)*
      ('Dev 조치사항'!$K$6:$K$985=_xlfn.MAXIFS('Dev 조치사항'!$K$6:$K$985, 'Dev 조치사항'!$D$6:$D$985, D44)),
    0)
  ) = "",
  "-",
  INDEX('Dev 조치사항'!$J$6:$J$985,
    MATCH(1,
      ('Dev 조치사항'!$D$6:$D$985=D44)*
      ('Dev 조치사항'!$K$6:$K$985=_xlfn.MAXIFS('Dev 조치사항'!$K$6:$K$985, 'Dev 조치사항'!$D$6:$D$985, D44)),
    0)
  )
)</f>
        <v>-</v>
      </c>
      <c r="K44" s="39">
        <f>_xlfn.MAXIFS('Dev 조치사항'!$K$6:$K$985, 'Dev 조치사항'!$D$6:$D$985, D44)</f>
        <v>46322</v>
      </c>
    </row>
    <row r="45" spans="1:11" ht="27" x14ac:dyDescent="0.3">
      <c r="A45" s="40"/>
      <c r="B45" s="1" t="s">
        <v>90</v>
      </c>
      <c r="C45" s="1" t="s">
        <v>18</v>
      </c>
      <c r="D45" s="1" t="s">
        <v>91</v>
      </c>
      <c r="E45" s="2" t="s">
        <v>232</v>
      </c>
      <c r="F45" s="3" t="s">
        <v>203</v>
      </c>
      <c r="G45" s="2" t="s">
        <v>233</v>
      </c>
      <c r="H45" s="37" t="str">
        <f t="array" ref="H45">INDEX('Dev 조치사항'!$H$6:$H$985, MATCH(1, ('Dev 조치사항'!$D$6:$D$985=D45)*('Dev 조치사항'!$K$6:$K$985=_xlfn.MAXIFS('Dev 조치사항'!$K$6:$K$985, 'Dev 조치사항'!$D$6:$D$985, D45)), 0))</f>
        <v>최신영</v>
      </c>
      <c r="I45" s="38" t="str">
        <f t="array" ref="I45">INDEX('Dev 조치사항'!$I$6:$I$985, MATCH(1, ('Dev 조치사항'!$D$6:$D$985=D45)*('Dev 조치사항'!$K$6:$K$985=_xlfn.MAXIFS('Dev 조치사항'!$K$6:$K$985, 'Dev 조치사항'!$D$6:$D$985, D45)), 0))</f>
        <v>정상</v>
      </c>
      <c r="J45" s="12" t="str">
        <f t="array" ref="J45">IF(
  INDEX('Dev 조치사항'!$J$6:$J$985,
    MATCH(1,
      ('Dev 조치사항'!$D$6:$D$985=D45)*
      ('Dev 조치사항'!$K$6:$K$985=_xlfn.MAXIFS('Dev 조치사항'!$K$6:$K$985, 'Dev 조치사항'!$D$6:$D$985, D45)),
    0)
  ) = "",
  "-",
  INDEX('Dev 조치사항'!$J$6:$J$985,
    MATCH(1,
      ('Dev 조치사항'!$D$6:$D$985=D45)*
      ('Dev 조치사항'!$K$6:$K$985=_xlfn.MAXIFS('Dev 조치사항'!$K$6:$K$985, 'Dev 조치사항'!$D$6:$D$985, D45)),
    0)
  )
)</f>
        <v>-</v>
      </c>
      <c r="K45" s="39">
        <f>_xlfn.MAXIFS('Dev 조치사항'!$K$6:$K$985, 'Dev 조치사항'!$D$6:$D$985, D45)</f>
        <v>46322</v>
      </c>
    </row>
    <row r="46" spans="1:11" ht="40.5" x14ac:dyDescent="0.3">
      <c r="A46" s="40"/>
      <c r="B46" s="1" t="s">
        <v>92</v>
      </c>
      <c r="C46" s="1" t="s">
        <v>18</v>
      </c>
      <c r="D46" s="1" t="s">
        <v>93</v>
      </c>
      <c r="E46" s="2" t="s">
        <v>234</v>
      </c>
      <c r="F46" s="3" t="s">
        <v>203</v>
      </c>
      <c r="G46" s="2" t="s">
        <v>235</v>
      </c>
      <c r="H46" s="37" t="str">
        <f t="array" ref="H46">INDEX('Dev 조치사항'!$H$6:$H$985, MATCH(1, ('Dev 조치사항'!$D$6:$D$985=D46)*('Dev 조치사항'!$K$6:$K$985=_xlfn.MAXIFS('Dev 조치사항'!$K$6:$K$985, 'Dev 조치사항'!$D$6:$D$985, D46)), 0))</f>
        <v>최신영</v>
      </c>
      <c r="I46" s="38" t="str">
        <f t="array" ref="I46">INDEX('Dev 조치사항'!$I$6:$I$985, MATCH(1, ('Dev 조치사항'!$D$6:$D$985=D46)*('Dev 조치사항'!$K$6:$K$985=_xlfn.MAXIFS('Dev 조치사항'!$K$6:$K$985, 'Dev 조치사항'!$D$6:$D$985, D46)), 0))</f>
        <v>정상</v>
      </c>
      <c r="J46" s="12" t="str">
        <f t="array" ref="J46">IF(
  INDEX('Dev 조치사항'!$J$6:$J$985,
    MATCH(1,
      ('Dev 조치사항'!$D$6:$D$985=D46)*
      ('Dev 조치사항'!$K$6:$K$985=_xlfn.MAXIFS('Dev 조치사항'!$K$6:$K$985, 'Dev 조치사항'!$D$6:$D$985, D46)),
    0)
  ) = "",
  "-",
  INDEX('Dev 조치사항'!$J$6:$J$985,
    MATCH(1,
      ('Dev 조치사항'!$D$6:$D$985=D46)*
      ('Dev 조치사항'!$K$6:$K$985=_xlfn.MAXIFS('Dev 조치사항'!$K$6:$K$985, 'Dev 조치사항'!$D$6:$D$985, D46)),
    0)
  )
)</f>
        <v>-</v>
      </c>
      <c r="K46" s="39">
        <f>_xlfn.MAXIFS('Dev 조치사항'!$K$6:$K$985, 'Dev 조치사항'!$D$6:$D$985, D46)</f>
        <v>46322</v>
      </c>
    </row>
    <row r="47" spans="1:11" ht="40.5" x14ac:dyDescent="0.3">
      <c r="A47" s="40"/>
      <c r="B47" s="1" t="s">
        <v>94</v>
      </c>
      <c r="C47" s="1" t="s">
        <v>18</v>
      </c>
      <c r="D47" s="1" t="s">
        <v>95</v>
      </c>
      <c r="E47" s="2" t="s">
        <v>236</v>
      </c>
      <c r="F47" s="3" t="s">
        <v>203</v>
      </c>
      <c r="G47" s="2" t="s">
        <v>237</v>
      </c>
      <c r="H47" s="37" t="str">
        <f t="array" ref="H47">INDEX('Dev 조치사항'!$H$6:$H$985, MATCH(1, ('Dev 조치사항'!$D$6:$D$985=D47)*('Dev 조치사항'!$K$6:$K$985=_xlfn.MAXIFS('Dev 조치사항'!$K$6:$K$985, 'Dev 조치사항'!$D$6:$D$985, D47)), 0))</f>
        <v>최신영</v>
      </c>
      <c r="I47" s="38" t="str">
        <f t="array" ref="I47">INDEX('Dev 조치사항'!$I$6:$I$985, MATCH(1, ('Dev 조치사항'!$D$6:$D$985=D47)*('Dev 조치사항'!$K$6:$K$985=_xlfn.MAXIFS('Dev 조치사항'!$K$6:$K$985, 'Dev 조치사항'!$D$6:$D$985, D47)), 0))</f>
        <v>정상</v>
      </c>
      <c r="J47" s="12" t="str">
        <f t="array" ref="J47">IF(
  INDEX('Dev 조치사항'!$J$6:$J$985,
    MATCH(1,
      ('Dev 조치사항'!$D$6:$D$985=D47)*
      ('Dev 조치사항'!$K$6:$K$985=_xlfn.MAXIFS('Dev 조치사항'!$K$6:$K$985, 'Dev 조치사항'!$D$6:$D$985, D47)),
    0)
  ) = "",
  "-",
  INDEX('Dev 조치사항'!$J$6:$J$985,
    MATCH(1,
      ('Dev 조치사항'!$D$6:$D$985=D47)*
      ('Dev 조치사항'!$K$6:$K$985=_xlfn.MAXIFS('Dev 조치사항'!$K$6:$K$985, 'Dev 조치사항'!$D$6:$D$985, D47)),
    0)
  )
)</f>
        <v>-</v>
      </c>
      <c r="K47" s="39">
        <f>_xlfn.MAXIFS('Dev 조치사항'!$K$6:$K$985, 'Dev 조치사항'!$D$6:$D$985, D47)</f>
        <v>46323</v>
      </c>
    </row>
    <row r="48" spans="1:11" ht="27" x14ac:dyDescent="0.3">
      <c r="A48" s="40"/>
      <c r="B48" s="1" t="s">
        <v>96</v>
      </c>
      <c r="C48" s="1" t="s">
        <v>18</v>
      </c>
      <c r="D48" s="1" t="s">
        <v>97</v>
      </c>
      <c r="E48" s="2" t="s">
        <v>238</v>
      </c>
      <c r="F48" s="3" t="s">
        <v>203</v>
      </c>
      <c r="G48" s="2" t="s">
        <v>239</v>
      </c>
      <c r="H48" s="37" t="str">
        <f t="array" ref="H48">INDEX('Dev 조치사항'!$H$6:$H$985, MATCH(1, ('Dev 조치사항'!$D$6:$D$985=D48)*('Dev 조치사항'!$K$6:$K$985=_xlfn.MAXIFS('Dev 조치사항'!$K$6:$K$985, 'Dev 조치사항'!$D$6:$D$985, D48)), 0))</f>
        <v>최신영</v>
      </c>
      <c r="I48" s="38" t="str">
        <f t="array" ref="I48">INDEX('Dev 조치사항'!$I$6:$I$985, MATCH(1, ('Dev 조치사항'!$D$6:$D$985=D48)*('Dev 조치사항'!$K$6:$K$985=_xlfn.MAXIFS('Dev 조치사항'!$K$6:$K$985, 'Dev 조치사항'!$D$6:$D$985, D48)), 0))</f>
        <v>정상</v>
      </c>
      <c r="J48" s="12" t="str">
        <f t="array" ref="J48">IF(
  INDEX('Dev 조치사항'!$J$6:$J$985,
    MATCH(1,
      ('Dev 조치사항'!$D$6:$D$985=D48)*
      ('Dev 조치사항'!$K$6:$K$985=_xlfn.MAXIFS('Dev 조치사항'!$K$6:$K$985, 'Dev 조치사항'!$D$6:$D$985, D48)),
    0)
  ) = "",
  "-",
  INDEX('Dev 조치사항'!$J$6:$J$985,
    MATCH(1,
      ('Dev 조치사항'!$D$6:$D$985=D48)*
      ('Dev 조치사항'!$K$6:$K$985=_xlfn.MAXIFS('Dev 조치사항'!$K$6:$K$985, 'Dev 조치사항'!$D$6:$D$985, D48)),
    0)
  )
)</f>
        <v>-</v>
      </c>
      <c r="K48" s="39">
        <f>_xlfn.MAXIFS('Dev 조치사항'!$K$6:$K$985, 'Dev 조치사항'!$D$6:$D$985, D48)</f>
        <v>46322</v>
      </c>
    </row>
    <row r="49" spans="1:11" ht="27" x14ac:dyDescent="0.3">
      <c r="A49" s="40"/>
      <c r="B49" s="1" t="s">
        <v>98</v>
      </c>
      <c r="C49" s="1" t="s">
        <v>18</v>
      </c>
      <c r="D49" s="1" t="s">
        <v>99</v>
      </c>
      <c r="E49" s="2" t="s">
        <v>240</v>
      </c>
      <c r="F49" s="3" t="s">
        <v>203</v>
      </c>
      <c r="G49" s="2" t="s">
        <v>241</v>
      </c>
      <c r="H49" s="37" t="str">
        <f t="array" ref="H49">INDEX('Dev 조치사항'!$H$6:$H$985, MATCH(1, ('Dev 조치사항'!$D$6:$D$985=D49)*('Dev 조치사항'!$K$6:$K$985=_xlfn.MAXIFS('Dev 조치사항'!$K$6:$K$985, 'Dev 조치사항'!$D$6:$D$985, D49)), 0))</f>
        <v>최신영</v>
      </c>
      <c r="I49" s="38" t="str">
        <f t="array" ref="I49">INDEX('Dev 조치사항'!$I$6:$I$985, MATCH(1, ('Dev 조치사항'!$D$6:$D$985=D49)*('Dev 조치사항'!$K$6:$K$985=_xlfn.MAXIFS('Dev 조치사항'!$K$6:$K$985, 'Dev 조치사항'!$D$6:$D$985, D49)), 0))</f>
        <v>정상</v>
      </c>
      <c r="J49" s="12" t="str">
        <f t="array" ref="J49">IF(
  INDEX('Dev 조치사항'!$J$6:$J$985,
    MATCH(1,
      ('Dev 조치사항'!$D$6:$D$985=D49)*
      ('Dev 조치사항'!$K$6:$K$985=_xlfn.MAXIFS('Dev 조치사항'!$K$6:$K$985, 'Dev 조치사항'!$D$6:$D$985, D49)),
    0)
  ) = "",
  "-",
  INDEX('Dev 조치사항'!$J$6:$J$985,
    MATCH(1,
      ('Dev 조치사항'!$D$6:$D$985=D49)*
      ('Dev 조치사항'!$K$6:$K$985=_xlfn.MAXIFS('Dev 조치사항'!$K$6:$K$985, 'Dev 조치사항'!$D$6:$D$985, D49)),
    0)
  )
)</f>
        <v>-</v>
      </c>
      <c r="K49" s="39">
        <f>_xlfn.MAXIFS('Dev 조치사항'!$K$6:$K$985, 'Dev 조치사항'!$D$6:$D$985, D49)</f>
        <v>46322</v>
      </c>
    </row>
    <row r="50" spans="1:11" ht="40.5" x14ac:dyDescent="0.3">
      <c r="A50" s="40"/>
      <c r="B50" s="1" t="s">
        <v>100</v>
      </c>
      <c r="C50" s="1" t="s">
        <v>18</v>
      </c>
      <c r="D50" s="1" t="s">
        <v>101</v>
      </c>
      <c r="E50" s="2" t="s">
        <v>242</v>
      </c>
      <c r="F50" s="3" t="s">
        <v>203</v>
      </c>
      <c r="G50" s="2" t="s">
        <v>243</v>
      </c>
      <c r="H50" s="37" t="str">
        <f t="array" ref="H50">INDEX('Dev 조치사항'!$H$6:$H$985, MATCH(1, ('Dev 조치사항'!$D$6:$D$985=D50)*('Dev 조치사항'!$K$6:$K$985=_xlfn.MAXIFS('Dev 조치사항'!$K$6:$K$985, 'Dev 조치사항'!$D$6:$D$985, D50)), 0))</f>
        <v>최신영</v>
      </c>
      <c r="I50" s="38" t="str">
        <f t="array" ref="I50">INDEX('Dev 조치사항'!$I$6:$I$985, MATCH(1, ('Dev 조치사항'!$D$6:$D$985=D50)*('Dev 조치사항'!$K$6:$K$985=_xlfn.MAXIFS('Dev 조치사항'!$K$6:$K$985, 'Dev 조치사항'!$D$6:$D$985, D50)), 0))</f>
        <v>정상</v>
      </c>
      <c r="J50" s="12" t="str">
        <f t="array" ref="J50">IF(
  INDEX('Dev 조치사항'!$J$6:$J$985,
    MATCH(1,
      ('Dev 조치사항'!$D$6:$D$985=D50)*
      ('Dev 조치사항'!$K$6:$K$985=_xlfn.MAXIFS('Dev 조치사항'!$K$6:$K$985, 'Dev 조치사항'!$D$6:$D$985, D50)),
    0)
  ) = "",
  "-",
  INDEX('Dev 조치사항'!$J$6:$J$985,
    MATCH(1,
      ('Dev 조치사항'!$D$6:$D$985=D50)*
      ('Dev 조치사항'!$K$6:$K$985=_xlfn.MAXIFS('Dev 조치사항'!$K$6:$K$985, 'Dev 조치사항'!$D$6:$D$985, D50)),
    0)
  )
)</f>
        <v>-</v>
      </c>
      <c r="K50" s="39">
        <f>_xlfn.MAXIFS('Dev 조치사항'!$K$6:$K$985, 'Dev 조치사항'!$D$6:$D$985, D50)</f>
        <v>46322</v>
      </c>
    </row>
    <row r="51" spans="1:11" ht="40.5" x14ac:dyDescent="0.3">
      <c r="A51" s="40"/>
      <c r="B51" s="1" t="s">
        <v>102</v>
      </c>
      <c r="C51" s="1" t="s">
        <v>18</v>
      </c>
      <c r="D51" s="1" t="s">
        <v>103</v>
      </c>
      <c r="E51" s="2" t="s">
        <v>244</v>
      </c>
      <c r="F51" s="3" t="s">
        <v>203</v>
      </c>
      <c r="G51" s="2" t="s">
        <v>245</v>
      </c>
      <c r="H51" s="37" t="str">
        <f t="array" ref="H51">INDEX('Dev 조치사항'!$H$6:$H$985, MATCH(1, ('Dev 조치사항'!$D$6:$D$985=D51)*('Dev 조치사항'!$K$6:$K$985=_xlfn.MAXIFS('Dev 조치사항'!$K$6:$K$985, 'Dev 조치사항'!$D$6:$D$985, D51)), 0))</f>
        <v>최신영</v>
      </c>
      <c r="I51" s="38" t="str">
        <f t="array" ref="I51">INDEX('Dev 조치사항'!$I$6:$I$985, MATCH(1, ('Dev 조치사항'!$D$6:$D$985=D51)*('Dev 조치사항'!$K$6:$K$985=_xlfn.MAXIFS('Dev 조치사항'!$K$6:$K$985, 'Dev 조치사항'!$D$6:$D$985, D51)), 0))</f>
        <v>정상</v>
      </c>
      <c r="J51" s="12" t="str">
        <f t="array" ref="J51">IF(
  INDEX('Dev 조치사항'!$J$6:$J$985,
    MATCH(1,
      ('Dev 조치사항'!$D$6:$D$985=D51)*
      ('Dev 조치사항'!$K$6:$K$985=_xlfn.MAXIFS('Dev 조치사항'!$K$6:$K$985, 'Dev 조치사항'!$D$6:$D$985, D51)),
    0)
  ) = "",
  "-",
  INDEX('Dev 조치사항'!$J$6:$J$985,
    MATCH(1,
      ('Dev 조치사항'!$D$6:$D$985=D51)*
      ('Dev 조치사항'!$K$6:$K$985=_xlfn.MAXIFS('Dev 조치사항'!$K$6:$K$985, 'Dev 조치사항'!$D$6:$D$985, D51)),
    0)
  )
)</f>
        <v>-</v>
      </c>
      <c r="K51" s="39">
        <f>_xlfn.MAXIFS('Dev 조치사항'!$K$6:$K$985, 'Dev 조치사항'!$D$6:$D$985, D51)</f>
        <v>46322</v>
      </c>
    </row>
    <row r="52" spans="1:11" ht="40.5" x14ac:dyDescent="0.3">
      <c r="A52" s="40"/>
      <c r="B52" s="1" t="s">
        <v>104</v>
      </c>
      <c r="C52" s="1" t="s">
        <v>18</v>
      </c>
      <c r="D52" s="1" t="s">
        <v>105</v>
      </c>
      <c r="E52" s="2" t="s">
        <v>246</v>
      </c>
      <c r="F52" s="3" t="s">
        <v>203</v>
      </c>
      <c r="G52" s="2" t="s">
        <v>247</v>
      </c>
      <c r="H52" s="37" t="str">
        <f t="array" ref="H52">INDEX('Dev 조치사항'!$H$6:$H$985, MATCH(1, ('Dev 조치사항'!$D$6:$D$985=D52)*('Dev 조치사항'!$K$6:$K$985=_xlfn.MAXIFS('Dev 조치사항'!$K$6:$K$985, 'Dev 조치사항'!$D$6:$D$985, D52)), 0))</f>
        <v>최신영</v>
      </c>
      <c r="I52" s="38" t="str">
        <f t="array" ref="I52">INDEX('Dev 조치사항'!$I$6:$I$985, MATCH(1, ('Dev 조치사항'!$D$6:$D$985=D52)*('Dev 조치사항'!$K$6:$K$985=_xlfn.MAXIFS('Dev 조치사항'!$K$6:$K$985, 'Dev 조치사항'!$D$6:$D$985, D52)), 0))</f>
        <v>정상</v>
      </c>
      <c r="J52" s="12" t="str">
        <f t="array" ref="J52">IF(
  INDEX('Dev 조치사항'!$J$6:$J$985,
    MATCH(1,
      ('Dev 조치사항'!$D$6:$D$985=D52)*
      ('Dev 조치사항'!$K$6:$K$985=_xlfn.MAXIFS('Dev 조치사항'!$K$6:$K$985, 'Dev 조치사항'!$D$6:$D$985, D52)),
    0)
  ) = "",
  "-",
  INDEX('Dev 조치사항'!$J$6:$J$985,
    MATCH(1,
      ('Dev 조치사항'!$D$6:$D$985=D52)*
      ('Dev 조치사항'!$K$6:$K$985=_xlfn.MAXIFS('Dev 조치사항'!$K$6:$K$985, 'Dev 조치사항'!$D$6:$D$985, D52)),
    0)
  )
)</f>
        <v>-</v>
      </c>
      <c r="K52" s="39">
        <f>_xlfn.MAXIFS('Dev 조치사항'!$K$6:$K$985, 'Dev 조치사항'!$D$6:$D$985, D52)</f>
        <v>46322</v>
      </c>
    </row>
    <row r="53" spans="1:11" ht="27" x14ac:dyDescent="0.3">
      <c r="A53" s="40"/>
      <c r="B53" s="1" t="s">
        <v>106</v>
      </c>
      <c r="C53" s="1" t="s">
        <v>18</v>
      </c>
      <c r="D53" s="1" t="s">
        <v>107</v>
      </c>
      <c r="E53" s="2" t="s">
        <v>248</v>
      </c>
      <c r="F53" s="3" t="s">
        <v>203</v>
      </c>
      <c r="G53" s="2" t="s">
        <v>249</v>
      </c>
      <c r="H53" s="37" t="str">
        <f t="array" ref="H53">INDEX('Dev 조치사항'!$H$6:$H$985, MATCH(1, ('Dev 조치사항'!$D$6:$D$985=D53)*('Dev 조치사항'!$K$6:$K$985=_xlfn.MAXIFS('Dev 조치사항'!$K$6:$K$985, 'Dev 조치사항'!$D$6:$D$985, D53)), 0))</f>
        <v>최신영</v>
      </c>
      <c r="I53" s="38" t="str">
        <f t="array" ref="I53">INDEX('Dev 조치사항'!$I$6:$I$985, MATCH(1, ('Dev 조치사항'!$D$6:$D$985=D53)*('Dev 조치사항'!$K$6:$K$985=_xlfn.MAXIFS('Dev 조치사항'!$K$6:$K$985, 'Dev 조치사항'!$D$6:$D$985, D53)), 0))</f>
        <v>정상</v>
      </c>
      <c r="J53" s="12" t="str">
        <f t="array" ref="J53">IF(
  INDEX('Dev 조치사항'!$J$6:$J$985,
    MATCH(1,
      ('Dev 조치사항'!$D$6:$D$985=D53)*
      ('Dev 조치사항'!$K$6:$K$985=_xlfn.MAXIFS('Dev 조치사항'!$K$6:$K$985, 'Dev 조치사항'!$D$6:$D$985, D53)),
    0)
  ) = "",
  "-",
  INDEX('Dev 조치사항'!$J$6:$J$985,
    MATCH(1,
      ('Dev 조치사항'!$D$6:$D$985=D53)*
      ('Dev 조치사항'!$K$6:$K$985=_xlfn.MAXIFS('Dev 조치사항'!$K$6:$K$985, 'Dev 조치사항'!$D$6:$D$985, D53)),
    0)
  )
)</f>
        <v>-</v>
      </c>
      <c r="K53" s="39">
        <f>_xlfn.MAXIFS('Dev 조치사항'!$K$6:$K$985, 'Dev 조치사항'!$D$6:$D$985, D53)</f>
        <v>46322</v>
      </c>
    </row>
    <row r="54" spans="1:11" ht="27" x14ac:dyDescent="0.3">
      <c r="A54" s="40"/>
      <c r="B54" s="1" t="s">
        <v>108</v>
      </c>
      <c r="C54" s="1" t="s">
        <v>18</v>
      </c>
      <c r="D54" s="1" t="s">
        <v>109</v>
      </c>
      <c r="E54" s="2" t="s">
        <v>250</v>
      </c>
      <c r="F54" s="3" t="s">
        <v>203</v>
      </c>
      <c r="G54" s="2" t="s">
        <v>251</v>
      </c>
      <c r="H54" s="37" t="str">
        <f t="array" ref="H54">INDEX('Dev 조치사항'!$H$6:$H$985, MATCH(1, ('Dev 조치사항'!$D$6:$D$985=D54)*('Dev 조치사항'!$K$6:$K$985=_xlfn.MAXIFS('Dev 조치사항'!$K$6:$K$985, 'Dev 조치사항'!$D$6:$D$985, D54)), 0))</f>
        <v>최신영</v>
      </c>
      <c r="I54" s="38" t="str">
        <f t="array" ref="I54">INDEX('Dev 조치사항'!$I$6:$I$985, MATCH(1, ('Dev 조치사항'!$D$6:$D$985=D54)*('Dev 조치사항'!$K$6:$K$985=_xlfn.MAXIFS('Dev 조치사항'!$K$6:$K$985, 'Dev 조치사항'!$D$6:$D$985, D54)), 0))</f>
        <v>정상</v>
      </c>
      <c r="J54" s="12" t="str">
        <f t="array" ref="J54">IF(
  INDEX('Dev 조치사항'!$J$6:$J$985,
    MATCH(1,
      ('Dev 조치사항'!$D$6:$D$985=D54)*
      ('Dev 조치사항'!$K$6:$K$985=_xlfn.MAXIFS('Dev 조치사항'!$K$6:$K$985, 'Dev 조치사항'!$D$6:$D$985, D54)),
    0)
  ) = "",
  "-",
  INDEX('Dev 조치사항'!$J$6:$J$985,
    MATCH(1,
      ('Dev 조치사항'!$D$6:$D$985=D54)*
      ('Dev 조치사항'!$K$6:$K$985=_xlfn.MAXIFS('Dev 조치사항'!$K$6:$K$985, 'Dev 조치사항'!$D$6:$D$985, D54)),
    0)
  )
)</f>
        <v>-</v>
      </c>
      <c r="K54" s="39">
        <f>_xlfn.MAXIFS('Dev 조치사항'!$K$6:$K$985, 'Dev 조치사항'!$D$6:$D$985, D54)</f>
        <v>46322</v>
      </c>
    </row>
    <row r="55" spans="1:11" ht="82.5" x14ac:dyDescent="0.3">
      <c r="A55" s="40"/>
      <c r="B55" s="1" t="s">
        <v>110</v>
      </c>
      <c r="C55" s="1" t="s">
        <v>18</v>
      </c>
      <c r="D55" s="1" t="s">
        <v>111</v>
      </c>
      <c r="E55" s="2" t="s">
        <v>252</v>
      </c>
      <c r="F55" s="3" t="s">
        <v>203</v>
      </c>
      <c r="G55" s="2" t="s">
        <v>253</v>
      </c>
      <c r="H55" s="37" t="str">
        <f t="array" ref="H55">INDEX('Dev 조치사항'!$H$6:$H$985, MATCH(1, ('Dev 조치사항'!$D$6:$D$985=D55)*('Dev 조치사항'!$K$6:$K$985=_xlfn.MAXIFS('Dev 조치사항'!$K$6:$K$985, 'Dev 조치사항'!$D$6:$D$985, D55)), 0))</f>
        <v>최신영</v>
      </c>
      <c r="I55" s="38" t="str">
        <f t="array" ref="I55">INDEX('Dev 조치사항'!$I$6:$I$985, MATCH(1, ('Dev 조치사항'!$D$6:$D$985=D55)*('Dev 조치사항'!$K$6:$K$985=_xlfn.MAXIFS('Dev 조치사항'!$K$6:$K$985, 'Dev 조치사항'!$D$6:$D$985, D55)), 0))</f>
        <v>정상</v>
      </c>
      <c r="J55" s="12" t="str">
        <f t="array" ref="J55">IF(
  INDEX('Dev 조치사항'!$J$6:$J$985,
    MATCH(1,
      ('Dev 조치사항'!$D$6:$D$985=D55)*
      ('Dev 조치사항'!$K$6:$K$985=_xlfn.MAXIFS('Dev 조치사항'!$K$6:$K$985, 'Dev 조치사항'!$D$6:$D$985, D55)),
    0)
  ) = "",
  "-",
  INDEX('Dev 조치사항'!$J$6:$J$985,
    MATCH(1,
      ('Dev 조치사항'!$D$6:$D$985=D55)*
      ('Dev 조치사항'!$K$6:$K$985=_xlfn.MAXIFS('Dev 조치사항'!$K$6:$K$985, 'Dev 조치사항'!$D$6:$D$985, D55)),
    0)
  )
)</f>
        <v>-</v>
      </c>
      <c r="K55" s="39">
        <f>_xlfn.MAXIFS('Dev 조치사항'!$K$6:$K$985, 'Dev 조치사항'!$D$6:$D$985, D55)</f>
        <v>46323</v>
      </c>
    </row>
    <row r="56" spans="1:11" ht="82.5" x14ac:dyDescent="0.3">
      <c r="A56" s="40"/>
      <c r="B56" s="1" t="s">
        <v>112</v>
      </c>
      <c r="C56" s="1" t="s">
        <v>18</v>
      </c>
      <c r="D56" s="1" t="s">
        <v>113</v>
      </c>
      <c r="E56" s="2" t="s">
        <v>254</v>
      </c>
      <c r="F56" s="3" t="s">
        <v>203</v>
      </c>
      <c r="G56" s="2" t="s">
        <v>255</v>
      </c>
      <c r="H56" s="37" t="str">
        <f t="array" ref="H56">INDEX('Dev 조치사항'!$H$6:$H$985, MATCH(1, ('Dev 조치사항'!$D$6:$D$985=D56)*('Dev 조치사항'!$K$6:$K$985=_xlfn.MAXIFS('Dev 조치사항'!$K$6:$K$985, 'Dev 조치사항'!$D$6:$D$985, D56)), 0))</f>
        <v>최신영</v>
      </c>
      <c r="I56" s="38" t="str">
        <f t="array" ref="I56">INDEX('Dev 조치사항'!$I$6:$I$985, MATCH(1, ('Dev 조치사항'!$D$6:$D$985=D56)*('Dev 조치사항'!$K$6:$K$985=_xlfn.MAXIFS('Dev 조치사항'!$K$6:$K$985, 'Dev 조치사항'!$D$6:$D$985, D56)), 0))</f>
        <v>정상</v>
      </c>
      <c r="J56" s="12" t="str">
        <f t="array" ref="J56">IF(
  INDEX('Dev 조치사항'!$J$6:$J$985,
    MATCH(1,
      ('Dev 조치사항'!$D$6:$D$985=D56)*
      ('Dev 조치사항'!$K$6:$K$985=_xlfn.MAXIFS('Dev 조치사항'!$K$6:$K$985, 'Dev 조치사항'!$D$6:$D$985, D56)),
    0)
  ) = "",
  "-",
  INDEX('Dev 조치사항'!$J$6:$J$985,
    MATCH(1,
      ('Dev 조치사항'!$D$6:$D$985=D56)*
      ('Dev 조치사항'!$K$6:$K$985=_xlfn.MAXIFS('Dev 조치사항'!$K$6:$K$985, 'Dev 조치사항'!$D$6:$D$985, D56)),
    0)
  )
)</f>
        <v>-</v>
      </c>
      <c r="K56" s="39">
        <f>_xlfn.MAXIFS('Dev 조치사항'!$K$6:$K$985, 'Dev 조치사항'!$D$6:$D$985, D56)</f>
        <v>46323</v>
      </c>
    </row>
    <row r="57" spans="1:11" ht="40.5" x14ac:dyDescent="0.3">
      <c r="A57" s="40"/>
      <c r="B57" s="1" t="s">
        <v>114</v>
      </c>
      <c r="C57" s="1" t="s">
        <v>18</v>
      </c>
      <c r="D57" s="1" t="s">
        <v>115</v>
      </c>
      <c r="E57" s="2" t="s">
        <v>256</v>
      </c>
      <c r="F57" s="3" t="s">
        <v>203</v>
      </c>
      <c r="G57" s="2" t="s">
        <v>257</v>
      </c>
      <c r="H57" s="37" t="str">
        <f t="array" ref="H57">INDEX('Dev 조치사항'!$H$6:$H$985, MATCH(1, ('Dev 조치사항'!$D$6:$D$985=D57)*('Dev 조치사항'!$K$6:$K$985=_xlfn.MAXIFS('Dev 조치사항'!$K$6:$K$985, 'Dev 조치사항'!$D$6:$D$985, D57)), 0))</f>
        <v>최신영</v>
      </c>
      <c r="I57" s="38" t="str">
        <f t="array" ref="I57">INDEX('Dev 조치사항'!$I$6:$I$985, MATCH(1, ('Dev 조치사항'!$D$6:$D$985=D57)*('Dev 조치사항'!$K$6:$K$985=_xlfn.MAXIFS('Dev 조치사항'!$K$6:$K$985, 'Dev 조치사항'!$D$6:$D$985, D57)), 0))</f>
        <v>정상</v>
      </c>
      <c r="J57" s="12" t="str">
        <f t="array" ref="J57">IF(
  INDEX('Dev 조치사항'!$J$6:$J$985,
    MATCH(1,
      ('Dev 조치사항'!$D$6:$D$985=D57)*
      ('Dev 조치사항'!$K$6:$K$985=_xlfn.MAXIFS('Dev 조치사항'!$K$6:$K$985, 'Dev 조치사항'!$D$6:$D$985, D57)),
    0)
  ) = "",
  "-",
  INDEX('Dev 조치사항'!$J$6:$J$985,
    MATCH(1,
      ('Dev 조치사항'!$D$6:$D$985=D57)*
      ('Dev 조치사항'!$K$6:$K$985=_xlfn.MAXIFS('Dev 조치사항'!$K$6:$K$985, 'Dev 조치사항'!$D$6:$D$985, D57)),
    0)
  )
)</f>
        <v>-</v>
      </c>
      <c r="K57" s="39">
        <f>_xlfn.MAXIFS('Dev 조치사항'!$K$6:$K$985, 'Dev 조치사항'!$D$6:$D$985, D57)</f>
        <v>46322</v>
      </c>
    </row>
    <row r="58" spans="1:11" ht="27" x14ac:dyDescent="0.3">
      <c r="A58" s="40"/>
      <c r="B58" s="1" t="s">
        <v>78</v>
      </c>
      <c r="C58" s="1" t="s">
        <v>18</v>
      </c>
      <c r="D58" s="1" t="s">
        <v>116</v>
      </c>
      <c r="E58" s="2" t="s">
        <v>258</v>
      </c>
      <c r="F58" s="3" t="s">
        <v>259</v>
      </c>
      <c r="G58" s="2" t="s">
        <v>223</v>
      </c>
      <c r="H58" s="37" t="str">
        <f t="array" ref="H58">INDEX('Dev 조치사항'!$H$6:$H$985, MATCH(1, ('Dev 조치사항'!$D$6:$D$985=D58)*('Dev 조치사항'!$K$6:$K$985=_xlfn.MAXIFS('Dev 조치사항'!$K$6:$K$985, 'Dev 조치사항'!$D$6:$D$985, D58)), 0))</f>
        <v>최신영</v>
      </c>
      <c r="I58" s="38" t="str">
        <f t="array" ref="I58">INDEX('Dev 조치사항'!$I$6:$I$985, MATCH(1, ('Dev 조치사항'!$D$6:$D$985=D58)*('Dev 조치사항'!$K$6:$K$985=_xlfn.MAXIFS('Dev 조치사항'!$K$6:$K$985, 'Dev 조치사항'!$D$6:$D$985, D58)), 0))</f>
        <v>정상</v>
      </c>
      <c r="J58" s="12" t="str">
        <f t="array" ref="J58">IF(
  INDEX('Dev 조치사항'!$J$6:$J$985,
    MATCH(1,
      ('Dev 조치사항'!$D$6:$D$985=D58)*
      ('Dev 조치사항'!$K$6:$K$985=_xlfn.MAXIFS('Dev 조치사항'!$K$6:$K$985, 'Dev 조치사항'!$D$6:$D$985, D58)),
    0)
  ) = "",
  "-",
  INDEX('Dev 조치사항'!$J$6:$J$985,
    MATCH(1,
      ('Dev 조치사항'!$D$6:$D$985=D58)*
      ('Dev 조치사항'!$K$6:$K$985=_xlfn.MAXIFS('Dev 조치사항'!$K$6:$K$985, 'Dev 조치사항'!$D$6:$D$985, D58)),
    0)
  )
)</f>
        <v>-</v>
      </c>
      <c r="K58" s="39">
        <f>_xlfn.MAXIFS('Dev 조치사항'!$K$6:$K$985, 'Dev 조치사항'!$D$6:$D$985, D58)</f>
        <v>46322</v>
      </c>
    </row>
    <row r="59" spans="1:11" ht="27" x14ac:dyDescent="0.3">
      <c r="A59" s="40"/>
      <c r="B59" s="1" t="s">
        <v>80</v>
      </c>
      <c r="C59" s="1" t="s">
        <v>18</v>
      </c>
      <c r="D59" s="1" t="s">
        <v>117</v>
      </c>
      <c r="E59" s="2" t="s">
        <v>260</v>
      </c>
      <c r="F59" s="3" t="s">
        <v>259</v>
      </c>
      <c r="G59" s="2" t="s">
        <v>225</v>
      </c>
      <c r="H59" s="37" t="str">
        <f t="array" ref="H59">INDEX('Dev 조치사항'!$H$6:$H$985, MATCH(1, ('Dev 조치사항'!$D$6:$D$985=D59)*('Dev 조치사항'!$K$6:$K$985=_xlfn.MAXIFS('Dev 조치사항'!$K$6:$K$985, 'Dev 조치사항'!$D$6:$D$985, D59)), 0))</f>
        <v>최신영</v>
      </c>
      <c r="I59" s="38" t="str">
        <f t="array" ref="I59">INDEX('Dev 조치사항'!$I$6:$I$985, MATCH(1, ('Dev 조치사항'!$D$6:$D$985=D59)*('Dev 조치사항'!$K$6:$K$985=_xlfn.MAXIFS('Dev 조치사항'!$K$6:$K$985, 'Dev 조치사항'!$D$6:$D$985, D59)), 0))</f>
        <v>정상</v>
      </c>
      <c r="J59" s="12" t="str">
        <f t="array" ref="J59">IF(
  INDEX('Dev 조치사항'!$J$6:$J$985,
    MATCH(1,
      ('Dev 조치사항'!$D$6:$D$985=D59)*
      ('Dev 조치사항'!$K$6:$K$985=_xlfn.MAXIFS('Dev 조치사항'!$K$6:$K$985, 'Dev 조치사항'!$D$6:$D$985, D59)),
    0)
  ) = "",
  "-",
  INDEX('Dev 조치사항'!$J$6:$J$985,
    MATCH(1,
      ('Dev 조치사항'!$D$6:$D$985=D59)*
      ('Dev 조치사항'!$K$6:$K$985=_xlfn.MAXIFS('Dev 조치사항'!$K$6:$K$985, 'Dev 조치사항'!$D$6:$D$985, D59)),
    0)
  )
)</f>
        <v>-</v>
      </c>
      <c r="K59" s="39">
        <f>_xlfn.MAXIFS('Dev 조치사항'!$K$6:$K$985, 'Dev 조치사항'!$D$6:$D$985, D59)</f>
        <v>46322</v>
      </c>
    </row>
    <row r="60" spans="1:11" ht="40.5" x14ac:dyDescent="0.3">
      <c r="A60" s="41"/>
      <c r="B60" s="1" t="s">
        <v>86</v>
      </c>
      <c r="C60" s="1" t="s">
        <v>18</v>
      </c>
      <c r="D60" s="1" t="s">
        <v>118</v>
      </c>
      <c r="E60" s="2" t="s">
        <v>261</v>
      </c>
      <c r="F60" s="3" t="s">
        <v>259</v>
      </c>
      <c r="G60" s="2" t="s">
        <v>229</v>
      </c>
      <c r="H60" s="37" t="str">
        <f t="array" ref="H60">INDEX('Dev 조치사항'!$H$6:$H$985, MATCH(1, ('Dev 조치사항'!$D$6:$D$985=D60)*('Dev 조치사항'!$K$6:$K$985=_xlfn.MAXIFS('Dev 조치사항'!$K$6:$K$985, 'Dev 조치사항'!$D$6:$D$985, D60)), 0))</f>
        <v>최신영</v>
      </c>
      <c r="I60" s="38" t="str">
        <f t="array" ref="I60">INDEX('Dev 조치사항'!$I$6:$I$985, MATCH(1, ('Dev 조치사항'!$D$6:$D$985=D60)*('Dev 조치사항'!$K$6:$K$985=_xlfn.MAXIFS('Dev 조치사항'!$K$6:$K$985, 'Dev 조치사항'!$D$6:$D$985, D60)), 0))</f>
        <v>정상</v>
      </c>
      <c r="J60" s="12" t="str">
        <f t="array" ref="J60">IF(
  INDEX('Dev 조치사항'!$J$6:$J$985,
    MATCH(1,
      ('Dev 조치사항'!$D$6:$D$985=D60)*
      ('Dev 조치사항'!$K$6:$K$985=_xlfn.MAXIFS('Dev 조치사항'!$K$6:$K$985, 'Dev 조치사항'!$D$6:$D$985, D60)),
    0)
  ) = "",
  "-",
  INDEX('Dev 조치사항'!$J$6:$J$985,
    MATCH(1,
      ('Dev 조치사항'!$D$6:$D$985=D60)*
      ('Dev 조치사항'!$K$6:$K$985=_xlfn.MAXIFS('Dev 조치사항'!$K$6:$K$985, 'Dev 조치사항'!$D$6:$D$985, D60)),
    0)
  )
)</f>
        <v>-</v>
      </c>
      <c r="K60" s="39">
        <f>_xlfn.MAXIFS('Dev 조치사항'!$K$6:$K$985, 'Dev 조치사항'!$D$6:$D$985, D60)</f>
        <v>46322</v>
      </c>
    </row>
    <row r="63" spans="1:11" x14ac:dyDescent="0.3">
      <c r="A63" s="43" t="s">
        <v>119</v>
      </c>
    </row>
    <row r="64" spans="1:11" ht="27" x14ac:dyDescent="0.3">
      <c r="A64" s="15" t="s">
        <v>1</v>
      </c>
      <c r="B64" s="16" t="s">
        <v>2</v>
      </c>
      <c r="C64" s="15" t="s">
        <v>3</v>
      </c>
      <c r="D64" s="15" t="s">
        <v>4</v>
      </c>
      <c r="E64" s="15" t="s">
        <v>5</v>
      </c>
      <c r="F64" s="15" t="s">
        <v>6</v>
      </c>
      <c r="G64" s="15" t="s">
        <v>7</v>
      </c>
      <c r="H64" s="17" t="s">
        <v>8</v>
      </c>
      <c r="I64" s="17" t="s">
        <v>9</v>
      </c>
      <c r="J64" s="17" t="s">
        <v>10</v>
      </c>
      <c r="K64" s="8" t="s">
        <v>11</v>
      </c>
    </row>
    <row r="65" spans="1:11" ht="49.5" x14ac:dyDescent="0.3">
      <c r="A65" s="26" t="s">
        <v>17</v>
      </c>
      <c r="B65" s="1" t="s">
        <v>18</v>
      </c>
      <c r="C65" s="1" t="s">
        <v>120</v>
      </c>
      <c r="D65" s="1" t="s">
        <v>121</v>
      </c>
      <c r="E65" s="2" t="s">
        <v>262</v>
      </c>
      <c r="F65" s="3" t="s">
        <v>263</v>
      </c>
      <c r="G65" s="2" t="s">
        <v>264</v>
      </c>
      <c r="H65" s="37" t="str">
        <f t="array" ref="H65">INDEX('Dev 조치사항'!$H$6:$H$985, MATCH(1, ('Dev 조치사항'!$D$6:$D$985=D65)*('Dev 조치사항'!$K$6:$K$985=_xlfn.MAXIFS('Dev 조치사항'!$K$6:$K$985, 'Dev 조치사항'!$D$6:$D$985, D65)), 0))</f>
        <v>최신영</v>
      </c>
      <c r="I65" s="38" t="str">
        <f t="array" ref="I65">INDEX('Dev 조치사항'!$I$6:$I$985, MATCH(1, ('Dev 조치사항'!$D$6:$D$985=D65)*('Dev 조치사항'!$K$6:$K$985=_xlfn.MAXIFS('Dev 조치사항'!$K$6:$K$985, 'Dev 조치사항'!$D$6:$D$985, D65)), 0))</f>
        <v>정상</v>
      </c>
      <c r="J65" s="12" t="str">
        <f t="array" ref="J65">IF(
  INDEX('Dev 조치사항'!$J$6:$J$985,
    MATCH(1,
      ('Dev 조치사항'!$D$6:$D$985=D65)*
      ('Dev 조치사항'!$K$6:$K$985=_xlfn.MAXIFS('Dev 조치사항'!$K$6:$K$985, 'Dev 조치사항'!$D$6:$D$985, D65)),
    0)
  ) = "",
  "-",
  INDEX('Dev 조치사항'!$J$6:$J$985,
    MATCH(1,
      ('Dev 조치사항'!$D$6:$D$985=D65)*
      ('Dev 조치사항'!$K$6:$K$985=_xlfn.MAXIFS('Dev 조치사항'!$K$6:$K$985, 'Dev 조치사항'!$D$6:$D$985, D65)),
    0)
  )
)</f>
        <v>-</v>
      </c>
      <c r="K65" s="39">
        <f>_xlfn.MAXIFS('Dev 조치사항'!$K$6:$K$985, 'Dev 조치사항'!$D$6:$D$985, D65)</f>
        <v>46322</v>
      </c>
    </row>
    <row r="66" spans="1:11" ht="49.5" x14ac:dyDescent="0.3">
      <c r="A66" s="40"/>
      <c r="B66" s="26" t="s">
        <v>34</v>
      </c>
      <c r="C66" s="26" t="s">
        <v>37</v>
      </c>
      <c r="D66" s="1" t="s">
        <v>122</v>
      </c>
      <c r="E66" s="2" t="s">
        <v>265</v>
      </c>
      <c r="F66" s="3" t="s">
        <v>266</v>
      </c>
      <c r="G66" s="2" t="s">
        <v>267</v>
      </c>
      <c r="H66" s="37" t="str">
        <f t="array" ref="H66">INDEX('Dev 조치사항'!$H$6:$H$985, MATCH(1, ('Dev 조치사항'!$D$6:$D$985=D66)*('Dev 조치사항'!$K$6:$K$985=_xlfn.MAXIFS('Dev 조치사항'!$K$6:$K$985, 'Dev 조치사항'!$D$6:$D$985, D66)), 0))</f>
        <v>최신영</v>
      </c>
      <c r="I66" s="38" t="str">
        <f t="array" ref="I66">INDEX('Dev 조치사항'!$I$6:$I$985, MATCH(1, ('Dev 조치사항'!$D$6:$D$985=D66)*('Dev 조치사항'!$K$6:$K$985=_xlfn.MAXIFS('Dev 조치사항'!$K$6:$K$985, 'Dev 조치사항'!$D$6:$D$985, D66)), 0))</f>
        <v>정상</v>
      </c>
      <c r="J66" s="12" t="str">
        <f t="array" ref="J66">IF(
  INDEX('Dev 조치사항'!$J$6:$J$985,
    MATCH(1,
      ('Dev 조치사항'!$D$6:$D$985=D66)*
      ('Dev 조치사항'!$K$6:$K$985=_xlfn.MAXIFS('Dev 조치사항'!$K$6:$K$985, 'Dev 조치사항'!$D$6:$D$985, D66)),
    0)
  ) = "",
  "-",
  INDEX('Dev 조치사항'!$J$6:$J$985,
    MATCH(1,
      ('Dev 조치사항'!$D$6:$D$985=D66)*
      ('Dev 조치사항'!$K$6:$K$985=_xlfn.MAXIFS('Dev 조치사항'!$K$6:$K$985, 'Dev 조치사항'!$D$6:$D$985, D66)),
    0)
  )
)</f>
        <v>-</v>
      </c>
      <c r="K66" s="39">
        <f>_xlfn.MAXIFS('Dev 조치사항'!$K$6:$K$985, 'Dev 조치사항'!$D$6:$D$985, D66)</f>
        <v>46322</v>
      </c>
    </row>
    <row r="67" spans="1:11" x14ac:dyDescent="0.3">
      <c r="A67" s="40"/>
      <c r="B67" s="40"/>
      <c r="C67" s="41"/>
      <c r="D67" s="1" t="s">
        <v>123</v>
      </c>
      <c r="E67" s="2" t="s">
        <v>268</v>
      </c>
      <c r="F67" s="3" t="s">
        <v>269</v>
      </c>
      <c r="G67" s="2" t="s">
        <v>270</v>
      </c>
      <c r="H67" s="37" t="str">
        <f t="array" ref="H67">INDEX('Dev 조치사항'!$H$6:$H$985, MATCH(1, ('Dev 조치사항'!$D$6:$D$985=D67)*('Dev 조치사항'!$K$6:$K$985=_xlfn.MAXIFS('Dev 조치사항'!$K$6:$K$985, 'Dev 조치사항'!$D$6:$D$985, D67)), 0))</f>
        <v>최신영</v>
      </c>
      <c r="I67" s="38" t="str">
        <f t="array" ref="I67">INDEX('Dev 조치사항'!$I$6:$I$985, MATCH(1, ('Dev 조치사항'!$D$6:$D$985=D67)*('Dev 조치사항'!$K$6:$K$985=_xlfn.MAXIFS('Dev 조치사항'!$K$6:$K$985, 'Dev 조치사항'!$D$6:$D$985, D67)), 0))</f>
        <v>정상</v>
      </c>
      <c r="J67" s="12" t="str">
        <f t="array" ref="J67">IF(
  INDEX('Dev 조치사항'!$J$6:$J$985,
    MATCH(1,
      ('Dev 조치사항'!$D$6:$D$985=D67)*
      ('Dev 조치사항'!$K$6:$K$985=_xlfn.MAXIFS('Dev 조치사항'!$K$6:$K$985, 'Dev 조치사항'!$D$6:$D$985, D67)),
    0)
  ) = "",
  "-",
  INDEX('Dev 조치사항'!$J$6:$J$985,
    MATCH(1,
      ('Dev 조치사항'!$D$6:$D$985=D67)*
      ('Dev 조치사항'!$K$6:$K$985=_xlfn.MAXIFS('Dev 조치사항'!$K$6:$K$985, 'Dev 조치사항'!$D$6:$D$985, D67)),
    0)
  )
)</f>
        <v>-</v>
      </c>
      <c r="K67" s="39">
        <f>_xlfn.MAXIFS('Dev 조치사항'!$K$6:$K$985, 'Dev 조치사항'!$D$6:$D$985, D67)</f>
        <v>46322</v>
      </c>
    </row>
    <row r="68" spans="1:11" x14ac:dyDescent="0.3">
      <c r="A68" s="40"/>
      <c r="B68" s="41"/>
      <c r="C68" s="1" t="s">
        <v>28</v>
      </c>
      <c r="D68" s="1" t="s">
        <v>124</v>
      </c>
      <c r="E68" s="2" t="s">
        <v>271</v>
      </c>
      <c r="F68" s="3" t="s">
        <v>272</v>
      </c>
      <c r="G68" s="2" t="s">
        <v>273</v>
      </c>
      <c r="H68" s="37" t="str">
        <f t="array" ref="H68">INDEX('Dev 조치사항'!$H$6:$H$985, MATCH(1, ('Dev 조치사항'!$D$6:$D$985=D68)*('Dev 조치사항'!$K$6:$K$985=_xlfn.MAXIFS('Dev 조치사항'!$K$6:$K$985, 'Dev 조치사항'!$D$6:$D$985, D68)), 0))</f>
        <v>최신영</v>
      </c>
      <c r="I68" s="38" t="str">
        <f t="array" ref="I68">INDEX('Dev 조치사항'!$I$6:$I$985, MATCH(1, ('Dev 조치사항'!$D$6:$D$985=D68)*('Dev 조치사항'!$K$6:$K$985=_xlfn.MAXIFS('Dev 조치사항'!$K$6:$K$985, 'Dev 조치사항'!$D$6:$D$985, D68)), 0))</f>
        <v>정상</v>
      </c>
      <c r="J68" s="12" t="str">
        <f t="array" ref="J68">IF(
  INDEX('Dev 조치사항'!$J$6:$J$985,
    MATCH(1,
      ('Dev 조치사항'!$D$6:$D$985=D68)*
      ('Dev 조치사항'!$K$6:$K$985=_xlfn.MAXIFS('Dev 조치사항'!$K$6:$K$985, 'Dev 조치사항'!$D$6:$D$985, D68)),
    0)
  ) = "",
  "-",
  INDEX('Dev 조치사항'!$J$6:$J$985,
    MATCH(1,
      ('Dev 조치사항'!$D$6:$D$985=D68)*
      ('Dev 조치사항'!$K$6:$K$985=_xlfn.MAXIFS('Dev 조치사항'!$K$6:$K$985, 'Dev 조치사항'!$D$6:$D$985, D68)),
    0)
  )
)</f>
        <v>-</v>
      </c>
      <c r="K68" s="39">
        <f>_xlfn.MAXIFS('Dev 조치사항'!$K$6:$K$985, 'Dev 조치사항'!$D$6:$D$985, D68)</f>
        <v>46322</v>
      </c>
    </row>
    <row r="69" spans="1:11" x14ac:dyDescent="0.3">
      <c r="A69" s="41"/>
      <c r="B69" s="1" t="s">
        <v>51</v>
      </c>
      <c r="C69" s="1" t="s">
        <v>51</v>
      </c>
      <c r="D69" s="1" t="s">
        <v>125</v>
      </c>
      <c r="E69" s="2" t="s">
        <v>274</v>
      </c>
      <c r="F69" s="3" t="s">
        <v>275</v>
      </c>
      <c r="G69" s="2" t="s">
        <v>276</v>
      </c>
      <c r="H69" s="37" t="str">
        <f t="array" ref="H69">INDEX('Dev 조치사항'!$H$6:$H$985, MATCH(1, ('Dev 조치사항'!$D$6:$D$985=D69)*('Dev 조치사항'!$K$6:$K$985=_xlfn.MAXIFS('Dev 조치사항'!$K$6:$K$985, 'Dev 조치사항'!$D$6:$D$985, D69)), 0))</f>
        <v>최신영</v>
      </c>
      <c r="I69" s="38" t="str">
        <f t="array" ref="I69">INDEX('Dev 조치사항'!$I$6:$I$985, MATCH(1, ('Dev 조치사항'!$D$6:$D$985=D69)*('Dev 조치사항'!$K$6:$K$985=_xlfn.MAXIFS('Dev 조치사항'!$K$6:$K$985, 'Dev 조치사항'!$D$6:$D$985, D69)), 0))</f>
        <v>정상</v>
      </c>
      <c r="J69" s="12" t="str">
        <f t="array" ref="J69">IF(
  INDEX('Dev 조치사항'!$J$6:$J$985,
    MATCH(1,
      ('Dev 조치사항'!$D$6:$D$985=D69)*
      ('Dev 조치사항'!$K$6:$K$985=_xlfn.MAXIFS('Dev 조치사항'!$K$6:$K$985, 'Dev 조치사항'!$D$6:$D$985, D69)),
    0)
  ) = "",
  "-",
  INDEX('Dev 조치사항'!$J$6:$J$985,
    MATCH(1,
      ('Dev 조치사항'!$D$6:$D$985=D69)*
      ('Dev 조치사항'!$K$6:$K$985=_xlfn.MAXIFS('Dev 조치사항'!$K$6:$K$985, 'Dev 조치사항'!$D$6:$D$985, D69)),
    0)
  )
)</f>
        <v>-</v>
      </c>
      <c r="K69" s="39">
        <f>_xlfn.MAXIFS('Dev 조치사항'!$K$6:$K$985, 'Dev 조치사항'!$D$6:$D$985, D69)</f>
        <v>46322</v>
      </c>
    </row>
  </sheetData>
  <mergeCells count="16">
    <mergeCell ref="A2:K2"/>
    <mergeCell ref="C15:C16"/>
    <mergeCell ref="C6:C7"/>
    <mergeCell ref="B6:B12"/>
    <mergeCell ref="C13:C14"/>
    <mergeCell ref="C9:C11"/>
    <mergeCell ref="A6:A60"/>
    <mergeCell ref="C26:C30"/>
    <mergeCell ref="C23:C24"/>
    <mergeCell ref="B13:B24"/>
    <mergeCell ref="C66:C67"/>
    <mergeCell ref="C17:C18"/>
    <mergeCell ref="A65:A69"/>
    <mergeCell ref="B25:B30"/>
    <mergeCell ref="B66:B68"/>
    <mergeCell ref="C19:C20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Q69"/>
  <sheetViews>
    <sheetView tabSelected="1" zoomScale="80" zoomScaleNormal="80" workbookViewId="0">
      <pane xSplit="4" ySplit="5" topLeftCell="G57" activePane="bottomRight" state="frozen"/>
      <selection pane="topRight" activeCell="D1" sqref="D1"/>
      <selection pane="bottomLeft" activeCell="A6" sqref="A6"/>
      <selection pane="bottomRight" activeCell="D7" sqref="D7"/>
    </sheetView>
  </sheetViews>
  <sheetFormatPr defaultColWidth="18.25" defaultRowHeight="16.5" x14ac:dyDescent="0.3"/>
  <cols>
    <col min="1" max="1" width="15.375" style="14" bestFit="1" customWidth="1"/>
    <col min="2" max="2" width="15.375" style="14" customWidth="1"/>
    <col min="3" max="3" width="9.25" style="13" customWidth="1"/>
    <col min="4" max="4" width="14.5" style="13" bestFit="1" customWidth="1"/>
    <col min="5" max="5" width="60.25" style="6" bestFit="1" customWidth="1"/>
    <col min="6" max="6" width="52.625" style="6" customWidth="1"/>
    <col min="7" max="7" width="54.5" style="6" customWidth="1"/>
    <col min="8" max="8" width="7" style="7" bestFit="1" customWidth="1"/>
    <col min="9" max="9" width="10.75" style="10" bestFit="1" customWidth="1"/>
    <col min="10" max="10" width="32.625" style="6" customWidth="1"/>
    <col min="11" max="11" width="18.25" style="6" customWidth="1"/>
    <col min="12" max="12" width="14.25" style="6" customWidth="1"/>
    <col min="13" max="16" width="18.25" style="6" customWidth="1"/>
    <col min="17" max="17" width="18.25" style="44" customWidth="1"/>
    <col min="18" max="19" width="18.25" style="6" customWidth="1"/>
    <col min="20" max="16384" width="18.25" style="6"/>
  </cols>
  <sheetData>
    <row r="2" spans="1:16" x14ac:dyDescent="0.3">
      <c r="A2" s="27" t="str">
        <f>"Dream 4.1 "&amp;CLEAN(A6)&amp;" 단위테스트 실행 로그"</f>
        <v>Dream 4.1 결재요청_AZ303 단위테스트 실행 로그</v>
      </c>
      <c r="B2" s="28"/>
      <c r="C2" s="32"/>
      <c r="D2" s="32"/>
      <c r="E2" s="29"/>
      <c r="F2" s="29"/>
      <c r="G2" s="29"/>
      <c r="H2" s="30"/>
      <c r="I2" s="31"/>
      <c r="J2" s="29"/>
      <c r="K2" s="29"/>
      <c r="L2" s="29"/>
      <c r="M2" s="29"/>
      <c r="N2" s="29"/>
      <c r="O2" s="29"/>
      <c r="P2" s="29"/>
    </row>
    <row r="4" spans="1:16" x14ac:dyDescent="0.3">
      <c r="A4" s="22" t="s">
        <v>0</v>
      </c>
      <c r="B4" s="35"/>
      <c r="C4" s="6"/>
      <c r="D4" s="7"/>
    </row>
    <row r="5" spans="1:16" ht="27" x14ac:dyDescent="0.3">
      <c r="A5" s="15" t="s">
        <v>1</v>
      </c>
      <c r="B5" s="16" t="s">
        <v>2</v>
      </c>
      <c r="C5" s="15" t="s">
        <v>3</v>
      </c>
      <c r="D5" s="15" t="s">
        <v>4</v>
      </c>
      <c r="E5" s="15" t="s">
        <v>5</v>
      </c>
      <c r="F5" s="15" t="s">
        <v>6</v>
      </c>
      <c r="G5" s="15" t="s">
        <v>7</v>
      </c>
      <c r="H5" s="17" t="s">
        <v>8</v>
      </c>
      <c r="I5" s="17" t="s">
        <v>9</v>
      </c>
      <c r="J5" s="17" t="s">
        <v>10</v>
      </c>
      <c r="K5" s="18" t="s">
        <v>11</v>
      </c>
      <c r="L5" s="18" t="s">
        <v>12</v>
      </c>
      <c r="M5" s="19" t="s">
        <v>13</v>
      </c>
      <c r="N5" s="19" t="s">
        <v>14</v>
      </c>
      <c r="O5" s="20" t="s">
        <v>15</v>
      </c>
      <c r="P5" s="21" t="s">
        <v>16</v>
      </c>
    </row>
    <row r="6" spans="1:16" ht="27" x14ac:dyDescent="0.3">
      <c r="A6" s="26" t="s">
        <v>17</v>
      </c>
      <c r="B6" s="26" t="s">
        <v>18</v>
      </c>
      <c r="C6" s="26" t="s">
        <v>19</v>
      </c>
      <c r="D6" s="1" t="s">
        <v>20</v>
      </c>
      <c r="E6" s="9" t="str">
        <f>IFERROR(VLOOKUP($D6, '테스트 케이스'!$D$6:$G$982, 2, FALSE), "")</f>
        <v>결재요청 팝업을 연다.</v>
      </c>
      <c r="F6" s="9" t="str">
        <f>IFERROR(VLOOKUP($D6, '테스트 케이스'!$D$6:$G$982, 3, FALSE), "")</f>
        <v>일일업무일지 [sychoi] 문서 상세 [승인요청] 클릭</v>
      </c>
      <c r="G6" s="9" t="str">
        <f>IFERROR(VLOOKUP($D6, '테스트 케이스'!$D$6:$G$982, 4, FALSE), "")</f>
        <v>"결재요청" 팝업이 열리고 신청자 = 로그인 사용자, 기안일자 = 오늘(둘 다 읽기전용), 제목 = 문서 제목이 들어 있음</v>
      </c>
      <c r="H6" s="4" t="s">
        <v>21</v>
      </c>
      <c r="I6" s="11" t="s">
        <v>22</v>
      </c>
      <c r="J6" s="24"/>
      <c r="K6" s="25">
        <v>46322</v>
      </c>
      <c r="L6" s="4"/>
      <c r="M6" s="5"/>
      <c r="N6" s="5"/>
      <c r="O6" s="5"/>
      <c r="P6" s="5"/>
    </row>
    <row r="7" spans="1:16" ht="67.5" x14ac:dyDescent="0.3">
      <c r="A7" s="40"/>
      <c r="B7" s="40"/>
      <c r="C7" s="41"/>
      <c r="D7" s="1" t="s">
        <v>23</v>
      </c>
      <c r="E7" s="9" t="str">
        <f>IFERROR(VLOOKUP($D7, '테스트 케이스'!$D$6:$G$982, 2, FALSE), "")</f>
        <v>팝업 크기를 확인한다.</v>
      </c>
      <c r="F7" s="9" t="str">
        <f>IFERROR(VLOOKUP($D7, '테스트 케이스'!$D$6:$G$982, 3, FALSE), "")</f>
        <v>결재자 칸 돋보기(사원 Lov)를 연다</v>
      </c>
      <c r="G7" s="9" t="str">
        <f>IFERROR(VLOOKUP($D7, '테스트 케이스'!$D$6:$G$982, 4, FALSE), "")</f>
        <v>사원 Lov 가 결재요청 팝업 안에 다 보임 (변경내용 2023.11.04 #1)</v>
      </c>
      <c r="H7" s="4" t="s">
        <v>21</v>
      </c>
      <c r="I7" s="48" t="s">
        <v>22</v>
      </c>
      <c r="J7" s="45" t="s">
        <v>24</v>
      </c>
      <c r="K7" s="46">
        <v>46322</v>
      </c>
      <c r="L7" s="47" t="s">
        <v>25</v>
      </c>
      <c r="M7" s="5"/>
      <c r="N7" s="5"/>
      <c r="O7" s="5"/>
      <c r="P7" s="5"/>
    </row>
    <row r="8" spans="1:16" x14ac:dyDescent="0.3">
      <c r="A8" s="40"/>
      <c r="B8" s="40"/>
      <c r="C8" s="1" t="s">
        <v>26</v>
      </c>
      <c r="D8" s="1" t="s">
        <v>27</v>
      </c>
      <c r="E8" s="9" t="str">
        <f>IFERROR(VLOOKUP($D8, '테스트 케이스'!$D$6:$G$982, 2, FALSE), "")</f>
        <v>제목 필수값을 확인한다.</v>
      </c>
      <c r="F8" s="9" t="str">
        <f>IFERROR(VLOOKUP($D8, '테스트 케이스'!$D$6:$G$982, 3, FALSE), "")</f>
        <v>제목을 지우고 [승인요청]</v>
      </c>
      <c r="G8" s="9" t="str">
        <f>IFERROR(VLOOKUP($D8, '테스트 케이스'!$D$6:$G$982, 4, FALSE), "")</f>
        <v>필수값 안내가 뜨고 요청되지 않음</v>
      </c>
      <c r="H8" s="4" t="s">
        <v>21</v>
      </c>
      <c r="I8" s="11" t="s">
        <v>22</v>
      </c>
      <c r="J8" s="24"/>
      <c r="K8" s="25">
        <v>46322</v>
      </c>
      <c r="L8" s="4"/>
      <c r="M8" s="5"/>
      <c r="N8" s="5"/>
      <c r="O8" s="5"/>
      <c r="P8" s="5"/>
    </row>
    <row r="9" spans="1:16" x14ac:dyDescent="0.3">
      <c r="A9" s="40"/>
      <c r="B9" s="40"/>
      <c r="C9" s="26" t="s">
        <v>28</v>
      </c>
      <c r="D9" s="1" t="s">
        <v>29</v>
      </c>
      <c r="E9" s="9" t="str">
        <f>IFERROR(VLOOKUP($D9, '테스트 케이스'!$D$6:$G$982, 2, FALSE), "")</f>
        <v>상세 [저장]으로 제목을 저장한다.</v>
      </c>
      <c r="F9" s="9" t="str">
        <f>IFERROR(VLOOKUP($D9, '테스트 케이스'!$D$6:$G$982, 3, FALSE), "")</f>
        <v>제목 수정 → [저장] → 팝업을 닫고 다시 연다</v>
      </c>
      <c r="G9" s="9" t="str">
        <f>IFERROR(VLOOKUP($D9, '테스트 케이스'!$D$6:$G$982, 4, FALSE), "")</f>
        <v>바뀐 제목이 그대로 있음</v>
      </c>
      <c r="H9" s="4" t="s">
        <v>21</v>
      </c>
      <c r="I9" s="11" t="s">
        <v>22</v>
      </c>
      <c r="J9" s="24"/>
      <c r="K9" s="25">
        <v>46322</v>
      </c>
      <c r="L9" s="4"/>
      <c r="M9" s="5"/>
      <c r="N9" s="5"/>
      <c r="O9" s="5"/>
      <c r="P9" s="5"/>
    </row>
    <row r="10" spans="1:16" x14ac:dyDescent="0.3">
      <c r="A10" s="40"/>
      <c r="B10" s="40"/>
      <c r="C10" s="40"/>
      <c r="D10" s="1" t="s">
        <v>30</v>
      </c>
      <c r="E10" s="9" t="str">
        <f>IFERROR(VLOOKUP($D10, '테스트 케이스'!$D$6:$G$982, 2, FALSE), "")</f>
        <v>저장 시 신청자를 본인으로 갱신한다.</v>
      </c>
      <c r="F10" s="9" t="str">
        <f>IFERROR(VLOOKUP($D10, '테스트 케이스'!$D$6:$G$982, 3, FALSE), "")</f>
        <v>[저장] 후 다시 연다</v>
      </c>
      <c r="G10" s="9" t="str">
        <f>IFERROR(VLOOKUP($D10, '테스트 케이스'!$D$6:$G$982, 4, FALSE), "")</f>
        <v>신청자 = 로그인 사용자 (변경내용 2022.05.17)</v>
      </c>
      <c r="H10" s="4" t="s">
        <v>21</v>
      </c>
      <c r="I10" s="11" t="s">
        <v>22</v>
      </c>
      <c r="J10" s="24"/>
      <c r="K10" s="25">
        <v>46322</v>
      </c>
      <c r="L10" s="4"/>
      <c r="M10" s="5"/>
      <c r="N10" s="5"/>
      <c r="O10" s="5"/>
      <c r="P10" s="5"/>
    </row>
    <row r="11" spans="1:16" x14ac:dyDescent="0.3">
      <c r="A11" s="40"/>
      <c r="B11" s="40"/>
      <c r="C11" s="41"/>
      <c r="D11" s="1" t="s">
        <v>31</v>
      </c>
      <c r="E11" s="9" t="str">
        <f>IFERROR(VLOOKUP($D11, '테스트 케이스'!$D$6:$G$982, 2, FALSE), "")</f>
        <v>다른 계정이 저장한 건을 내가 요청하면 신청자가 나로 바뀐다.</v>
      </c>
      <c r="F11" s="9" t="str">
        <f>IFERROR(VLOOKUP($D11, '테스트 케이스'!$D$6:$G$982, 3, FALSE), "")</f>
        <v>A 계정으로 결재자 저장 → B 계정으로 [승인요청]</v>
      </c>
      <c r="G11" s="9" t="str">
        <f>IFERROR(VLOOKUP($D11, '테스트 케이스'!$D$6:$G$982, 4, FALSE), "")</f>
        <v>신청자 = B (변경내용 2022.05.17)</v>
      </c>
      <c r="H11" s="4" t="s">
        <v>21</v>
      </c>
      <c r="I11" s="11" t="s">
        <v>22</v>
      </c>
      <c r="J11" s="24"/>
      <c r="K11" s="25">
        <v>46323</v>
      </c>
      <c r="L11" s="4"/>
      <c r="M11" s="5"/>
      <c r="N11" s="5"/>
      <c r="O11" s="5"/>
      <c r="P11" s="5"/>
    </row>
    <row r="12" spans="1:16" ht="27" x14ac:dyDescent="0.3">
      <c r="A12" s="40"/>
      <c r="B12" s="41"/>
      <c r="C12" s="1" t="s">
        <v>32</v>
      </c>
      <c r="D12" s="1" t="s">
        <v>33</v>
      </c>
      <c r="E12" s="9" t="str">
        <f>IFERROR(VLOOKUP($D12, '테스트 케이스'!$D$6:$G$982, 2, FALSE), "")</f>
        <v>상세 Setting(Field 설정)을 확인한다.</v>
      </c>
      <c r="F12" s="9" t="str">
        <f>IFERROR(VLOOKUP($D12, '테스트 케이스'!$D$6:$G$982, 3, FALSE), "")</f>
        <v>상세 [Setting] → Field 설정</v>
      </c>
      <c r="G12" s="9" t="str">
        <f>IFERROR(VLOOKUP($D12, '테스트 케이스'!$D$6:$G$982, 4, FALSE), "")</f>
        <v>신청자·기안일자·제목 항목이 보이고, Display N 으로 바꾸면 화면에서 사라지고 원복하면 다시 보임</v>
      </c>
      <c r="H12" s="4" t="s">
        <v>21</v>
      </c>
      <c r="I12" s="11" t="s">
        <v>22</v>
      </c>
      <c r="J12" s="24"/>
      <c r="K12" s="25">
        <v>46322</v>
      </c>
      <c r="L12" s="4"/>
      <c r="M12" s="5"/>
      <c r="N12" s="5"/>
      <c r="O12" s="5"/>
      <c r="P12" s="5"/>
    </row>
    <row r="13" spans="1:16" ht="27" x14ac:dyDescent="0.3">
      <c r="A13" s="40"/>
      <c r="B13" s="26" t="s">
        <v>34</v>
      </c>
      <c r="C13" s="26" t="s">
        <v>19</v>
      </c>
      <c r="D13" s="1" t="s">
        <v>35</v>
      </c>
      <c r="E13" s="9" t="str">
        <f>IFERROR(VLOOKUP($D13, '테스트 케이스'!$D$6:$G$982, 2, FALSE), "")</f>
        <v>결재라인을 승인Flow설정대로 불러온다.</v>
      </c>
      <c r="F13" s="9" t="str">
        <f>IFERROR(VLOOKUP($D13, '테스트 케이스'!$D$6:$G$982, 3, FALSE), "")</f>
        <v>팝업 결재자 목록과 [운영기준설정 &gt; 승인Flow설정] 일일업무일지 승인순서 비교</v>
      </c>
      <c r="G13" s="9" t="str">
        <f>IFERROR(VLOOKUP($D13, '테스트 케이스'!$D$6:$G$982, 4, FALSE), "")</f>
        <v>결재순서·필수결재자?·결재라인·결재라인명이 승인Flow설정 승인순서와 같음</v>
      </c>
      <c r="H13" s="4" t="s">
        <v>21</v>
      </c>
      <c r="I13" s="11" t="s">
        <v>22</v>
      </c>
      <c r="J13" s="24"/>
      <c r="K13" s="25">
        <v>46322</v>
      </c>
      <c r="L13" s="4"/>
      <c r="M13" s="5"/>
      <c r="N13" s="5"/>
      <c r="O13" s="5"/>
      <c r="P13" s="5"/>
    </row>
    <row r="14" spans="1:16" ht="27" x14ac:dyDescent="0.3">
      <c r="A14" s="40"/>
      <c r="B14" s="40"/>
      <c r="C14" s="41"/>
      <c r="D14" s="1" t="s">
        <v>36</v>
      </c>
      <c r="E14" s="9" t="str">
        <f>IFERROR(VLOOKUP($D14, '테스트 케이스'!$D$6:$G$982, 2, FALSE), "")</f>
        <v>목록 항목을 설계서와 비교한다.</v>
      </c>
      <c r="F14" s="9" t="str">
        <f>IFERROR(VLOOKUP($D14, '테스트 케이스'!$D$6:$G$982, 3, FALSE), "")</f>
        <v>결재자 목록 머리글 확인</v>
      </c>
      <c r="G14" s="9" t="str">
        <f>IFERROR(VLOOKUP($D14, '테스트 케이스'!$D$6:$G$982, 4, FALSE), "")</f>
        <v>결재순서, 필수결재자?, 결재라인, 결재구분, 결재라인명, 결재자1~5, 부서1~5 가 이 순서로 보임</v>
      </c>
      <c r="H14" s="4" t="s">
        <v>21</v>
      </c>
      <c r="I14" s="11" t="s">
        <v>22</v>
      </c>
      <c r="J14" s="24"/>
      <c r="K14" s="25">
        <v>46322</v>
      </c>
      <c r="L14" s="4"/>
      <c r="M14" s="5"/>
      <c r="N14" s="5"/>
      <c r="O14" s="5"/>
      <c r="P14" s="5"/>
    </row>
    <row r="15" spans="1:16" x14ac:dyDescent="0.3">
      <c r="A15" s="40"/>
      <c r="B15" s="40"/>
      <c r="C15" s="26" t="s">
        <v>37</v>
      </c>
      <c r="D15" s="1" t="s">
        <v>38</v>
      </c>
      <c r="E15" s="9" t="str">
        <f>IFERROR(VLOOKUP($D15, '테스트 케이스'!$D$6:$G$982, 2, FALSE), "")</f>
        <v>목록은 결재자 칸만 편집된다.</v>
      </c>
      <c r="F15" s="9" t="str">
        <f>IFERROR(VLOOKUP($D15, '테스트 케이스'!$D$6:$G$982, 3, FALSE), "")</f>
        <v>결재자1~5 칸과 그 외 칸(결재순서, 결재라인명, 부서1)을 더블클릭</v>
      </c>
      <c r="G15" s="9" t="str">
        <f>IFERROR(VLOOKUP($D15, '테스트 케이스'!$D$6:$G$982, 4, FALSE), "")</f>
        <v>결재자1~5 만 편집 칸이 열리고 나머지는 열리지 않음</v>
      </c>
      <c r="H15" s="4" t="s">
        <v>21</v>
      </c>
      <c r="I15" s="11" t="s">
        <v>22</v>
      </c>
      <c r="J15" s="24"/>
      <c r="K15" s="25">
        <v>46322</v>
      </c>
      <c r="L15" s="4"/>
      <c r="M15" s="5"/>
      <c r="N15" s="5"/>
      <c r="O15" s="5"/>
      <c r="P15" s="5"/>
    </row>
    <row r="16" spans="1:16" x14ac:dyDescent="0.3">
      <c r="A16" s="40"/>
      <c r="B16" s="40"/>
      <c r="C16" s="41"/>
      <c r="D16" s="1" t="s">
        <v>39</v>
      </c>
      <c r="E16" s="9" t="str">
        <f>IFERROR(VLOOKUP($D16, '테스트 케이스'!$D$6:$G$982, 2, FALSE), "")</f>
        <v>결재자를 지정한다.</v>
      </c>
      <c r="F16" s="9" t="str">
        <f>IFERROR(VLOOKUP($D16, '테스트 케이스'!$D$6:$G$982, 3, FALSE), "")</f>
        <v>결재자1 칸 돋보기 → 사원 Lov 에서 최신영 선택</v>
      </c>
      <c r="G16" s="9" t="str">
        <f>IFERROR(VLOOKUP($D16, '테스트 케이스'!$D$6:$G$982, 4, FALSE), "")</f>
        <v>결재자1 = 최신영, 부서1 = 사원의 부서/직급 이 들어감</v>
      </c>
      <c r="H16" s="4" t="s">
        <v>21</v>
      </c>
      <c r="I16" s="11" t="s">
        <v>22</v>
      </c>
      <c r="J16" s="24"/>
      <c r="K16" s="25">
        <v>46322</v>
      </c>
      <c r="L16" s="4"/>
      <c r="M16" s="5"/>
      <c r="N16" s="5"/>
      <c r="O16" s="5"/>
      <c r="P16" s="5"/>
    </row>
    <row r="17" spans="1:16" x14ac:dyDescent="0.3">
      <c r="A17" s="40"/>
      <c r="B17" s="40"/>
      <c r="C17" s="26" t="s">
        <v>28</v>
      </c>
      <c r="D17" s="1" t="s">
        <v>40</v>
      </c>
      <c r="E17" s="9" t="str">
        <f>IFERROR(VLOOKUP($D17, '테스트 케이스'!$D$6:$G$982, 2, FALSE), "")</f>
        <v>목록 [저장]으로 결재자를 저장한다.</v>
      </c>
      <c r="F17" s="9" t="str">
        <f>IFERROR(VLOOKUP($D17, '테스트 케이스'!$D$6:$G$982, 3, FALSE), "")</f>
        <v>결재자 지정 → 목록 [저장] → 팝업을 닫고 다시 연다</v>
      </c>
      <c r="G17" s="9" t="str">
        <f>IFERROR(VLOOKUP($D17, '테스트 케이스'!$D$6:$G$982, 4, FALSE), "")</f>
        <v>지정한 결재자가 그대로 있음</v>
      </c>
      <c r="H17" s="4" t="s">
        <v>21</v>
      </c>
      <c r="I17" s="11" t="s">
        <v>22</v>
      </c>
      <c r="J17" s="24"/>
      <c r="K17" s="25">
        <v>46322</v>
      </c>
      <c r="L17" s="4"/>
      <c r="M17" s="5"/>
      <c r="N17" s="5"/>
      <c r="O17" s="5"/>
      <c r="P17" s="5"/>
    </row>
    <row r="18" spans="1:16" x14ac:dyDescent="0.3">
      <c r="A18" s="40"/>
      <c r="B18" s="40"/>
      <c r="C18" s="41"/>
      <c r="D18" s="1" t="s">
        <v>41</v>
      </c>
      <c r="E18" s="9" t="str">
        <f>IFERROR(VLOOKUP($D18, '테스트 케이스'!$D$6:$G$982, 2, FALSE), "")</f>
        <v>결재자를 지우고 저장한다.</v>
      </c>
      <c r="F18" s="9" t="str">
        <f>IFERROR(VLOOKUP($D18, '테스트 케이스'!$D$6:$G$982, 3, FALSE), "")</f>
        <v>결재자1 칸을 비우고 목록 [저장] → 다시 연다</v>
      </c>
      <c r="G18" s="9" t="str">
        <f>IFERROR(VLOOKUP($D18, '테스트 케이스'!$D$6:$G$982, 4, FALSE), "")</f>
        <v>결재자1 이 비어 있음</v>
      </c>
      <c r="H18" s="4" t="s">
        <v>21</v>
      </c>
      <c r="I18" s="11" t="s">
        <v>22</v>
      </c>
      <c r="J18" s="24"/>
      <c r="K18" s="25">
        <v>46322</v>
      </c>
      <c r="L18" s="4"/>
      <c r="M18" s="5"/>
      <c r="N18" s="5"/>
      <c r="O18" s="5"/>
      <c r="P18" s="5"/>
    </row>
    <row r="19" spans="1:16" ht="27" x14ac:dyDescent="0.3">
      <c r="A19" s="40"/>
      <c r="B19" s="40"/>
      <c r="C19" s="26" t="s">
        <v>42</v>
      </c>
      <c r="D19" s="1" t="s">
        <v>43</v>
      </c>
      <c r="E19" s="9" t="str">
        <f>IFERROR(VLOOKUP($D19, '테스트 케이스'!$D$6:$G$982, 2, FALSE), "")</f>
        <v>[기본 결재자로 저장] 한다.</v>
      </c>
      <c r="F19" s="9" t="str">
        <f>IFERROR(VLOOKUP($D19, '테스트 케이스'!$D$6:$G$982, 3, FALSE), "")</f>
        <v>결재자 지정 → [기본 결재자로 저장] → [개인설정 &gt; 기본결재자설정] 일일업무일지 확인</v>
      </c>
      <c r="G19" s="9" t="str">
        <f>IFERROR(VLOOKUP($D19, '테스트 케이스'!$D$6:$G$982, 4, FALSE), "")</f>
        <v>기본결재자설정에 지정한 결재자가 저장됨 (확인 후 원래대로 되돌림)</v>
      </c>
      <c r="H19" s="4" t="s">
        <v>21</v>
      </c>
      <c r="I19" s="11" t="s">
        <v>22</v>
      </c>
      <c r="J19" s="24"/>
      <c r="K19" s="25">
        <v>46322</v>
      </c>
      <c r="L19" s="4"/>
      <c r="M19" s="5"/>
      <c r="N19" s="5"/>
      <c r="O19" s="5"/>
      <c r="P19" s="5"/>
    </row>
    <row r="20" spans="1:16" x14ac:dyDescent="0.3">
      <c r="A20" s="40"/>
      <c r="B20" s="40"/>
      <c r="C20" s="41"/>
      <c r="D20" s="1" t="s">
        <v>44</v>
      </c>
      <c r="E20" s="9" t="str">
        <f>IFERROR(VLOOKUP($D20, '테스트 케이스'!$D$6:$G$982, 2, FALSE), "")</f>
        <v>기본결재자를 기본값으로 불러온다.</v>
      </c>
      <c r="F20" s="9" t="str">
        <f>IFERROR(VLOOKUP($D20, '테스트 케이스'!$D$6:$G$982, 3, FALSE), "")</f>
        <v>기본결재자가 있는 상태에서 새 문서로 [승인요청]</v>
      </c>
      <c r="G20" s="9" t="str">
        <f>IFERROR(VLOOKUP($D20, '테스트 케이스'!$D$6:$G$982, 4, FALSE), "")</f>
        <v>결재자 칸에 기본결재자가 미리 들어 있음</v>
      </c>
      <c r="H20" s="4" t="s">
        <v>21</v>
      </c>
      <c r="I20" s="11" t="s">
        <v>22</v>
      </c>
      <c r="J20" s="24"/>
      <c r="K20" s="25">
        <v>46322</v>
      </c>
      <c r="L20" s="4"/>
      <c r="M20" s="5"/>
      <c r="N20" s="5"/>
      <c r="O20" s="5"/>
      <c r="P20" s="5"/>
    </row>
    <row r="21" spans="1:16" x14ac:dyDescent="0.3">
      <c r="A21" s="40"/>
      <c r="B21" s="40"/>
      <c r="C21" s="1" t="s">
        <v>45</v>
      </c>
      <c r="D21" s="1" t="s">
        <v>46</v>
      </c>
      <c r="E21" s="9" t="str">
        <f>IFERROR(VLOOKUP($D21, '테스트 케이스'!$D$6:$G$982, 2, FALSE), "")</f>
        <v>결재자 목록을 Excel 로 받는다.</v>
      </c>
      <c r="F21" s="9" t="str">
        <f>IFERROR(VLOOKUP($D21, '테스트 케이스'!$D$6:$G$982, 3, FALSE), "")</f>
        <v>목록 [Excel]</v>
      </c>
      <c r="G21" s="9" t="str">
        <f>IFERROR(VLOOKUP($D21, '테스트 케이스'!$D$6:$G$982, 4, FALSE), "")</f>
        <v>엑셀 파일이 내려받아짐</v>
      </c>
      <c r="H21" s="4" t="s">
        <v>21</v>
      </c>
      <c r="I21" s="11" t="s">
        <v>22</v>
      </c>
      <c r="J21" s="24"/>
      <c r="K21" s="25">
        <v>46322</v>
      </c>
      <c r="L21" s="4"/>
      <c r="M21" s="5"/>
      <c r="N21" s="5"/>
      <c r="O21" s="5"/>
      <c r="P21" s="5"/>
    </row>
    <row r="22" spans="1:16" x14ac:dyDescent="0.3">
      <c r="A22" s="40"/>
      <c r="B22" s="40"/>
      <c r="C22" s="1" t="s">
        <v>32</v>
      </c>
      <c r="D22" s="1" t="s">
        <v>47</v>
      </c>
      <c r="E22" s="9" t="str">
        <f>IFERROR(VLOOKUP($D22, '테스트 케이스'!$D$6:$G$982, 2, FALSE), "")</f>
        <v>목록 Setting 을 확인한다.</v>
      </c>
      <c r="F22" s="9" t="str">
        <f>IFERROR(VLOOKUP($D22, '테스트 케이스'!$D$6:$G$982, 3, FALSE), "")</f>
        <v>목록 [Setting] → 칼럼 Display N → 확인 → 원복</v>
      </c>
      <c r="G22" s="9" t="str">
        <f>IFERROR(VLOOKUP($D22, '테스트 케이스'!$D$6:$G$982, 4, FALSE), "")</f>
        <v>칼럼이 사라졌다가 원복하면 다시 보임</v>
      </c>
      <c r="H22" s="4" t="s">
        <v>21</v>
      </c>
      <c r="I22" s="11" t="s">
        <v>22</v>
      </c>
      <c r="J22" s="24"/>
      <c r="K22" s="25">
        <v>46322</v>
      </c>
      <c r="L22" s="4"/>
      <c r="M22" s="5"/>
      <c r="N22" s="5"/>
      <c r="O22" s="5"/>
      <c r="P22" s="5"/>
    </row>
    <row r="23" spans="1:16" x14ac:dyDescent="0.3">
      <c r="A23" s="40"/>
      <c r="B23" s="40"/>
      <c r="C23" s="26" t="s">
        <v>48</v>
      </c>
      <c r="D23" s="1" t="s">
        <v>49</v>
      </c>
      <c r="E23" s="9" t="str">
        <f>IFERROR(VLOOKUP($D23, '테스트 케이스'!$D$6:$G$982, 2, FALSE), "")</f>
        <v>결재선변경가능 여부에 따라 결재자 추가·삭제가 된다.</v>
      </c>
      <c r="F23" s="9" t="str">
        <f>IFERROR(VLOOKUP($D23, '테스트 케이스'!$D$6:$G$982, 3, FALSE), "")</f>
        <v>승인Flow 결재선변경가능 Y / N 인 업무에서 팝업 확인</v>
      </c>
      <c r="G23" s="9" t="str">
        <f>IFERROR(VLOOKUP($D23, '테스트 케이스'!$D$6:$G$982, 4, FALSE), "")</f>
        <v>Y 면 결재자 추가·삭제 가능, N 이면 불가 (변경내용 2023.11.04 #4)</v>
      </c>
      <c r="H23" s="4" t="s">
        <v>21</v>
      </c>
      <c r="I23" s="11" t="s">
        <v>22</v>
      </c>
      <c r="J23" s="24"/>
      <c r="K23" s="25">
        <v>46323</v>
      </c>
      <c r="L23" s="4"/>
      <c r="M23" s="5"/>
      <c r="N23" s="5"/>
      <c r="O23" s="5"/>
      <c r="P23" s="5"/>
    </row>
    <row r="24" spans="1:16" x14ac:dyDescent="0.3">
      <c r="A24" s="40"/>
      <c r="B24" s="41"/>
      <c r="C24" s="41"/>
      <c r="D24" s="1" t="s">
        <v>50</v>
      </c>
      <c r="E24" s="9" t="str">
        <f>IFERROR(VLOOKUP($D24, '테스트 케이스'!$D$6:$G$982, 2, FALSE), "")</f>
        <v>결재선(AN110) 같은 업무구분 값을 결재자로 불러온다.</v>
      </c>
      <c r="F24" s="9" t="str">
        <f>IFERROR(VLOOKUP($D24, '테스트 케이스'!$D$6:$G$982, 3, FALSE), "")</f>
        <v>AN110 결재선에 같은 업무구분을 등록한 뒤 [승인요청]</v>
      </c>
      <c r="G24" s="9" t="str">
        <f>IFERROR(VLOOKUP($D24, '테스트 케이스'!$D$6:$G$982, 4, FALSE), "")</f>
        <v>결재선의 결재자1~5 가 결재자 칸에 들어감 (변경내용 2023.11.04 #2)</v>
      </c>
      <c r="H24" s="4" t="s">
        <v>21</v>
      </c>
      <c r="I24" s="11" t="s">
        <v>22</v>
      </c>
      <c r="J24" s="24"/>
      <c r="K24" s="25">
        <v>46323</v>
      </c>
      <c r="L24" s="4"/>
      <c r="M24" s="5"/>
      <c r="N24" s="5"/>
      <c r="O24" s="5"/>
      <c r="P24" s="5"/>
    </row>
    <row r="25" spans="1:16" x14ac:dyDescent="0.3">
      <c r="A25" s="40"/>
      <c r="B25" s="26" t="s">
        <v>51</v>
      </c>
      <c r="C25" s="1" t="s">
        <v>26</v>
      </c>
      <c r="D25" s="1" t="s">
        <v>52</v>
      </c>
      <c r="E25" s="9" t="str">
        <f>IFERROR(VLOOKUP($D25, '테스트 케이스'!$D$6:$G$982, 2, FALSE), "")</f>
        <v>필수결재자 Y 단계에 결재자가 없으면 요청되지 않는다.</v>
      </c>
      <c r="F25" s="9" t="str">
        <f>IFERROR(VLOOKUP($D25, '테스트 케이스'!$D$6:$G$982, 3, FALSE), "")</f>
        <v>필수결재자 Y 인 단계의 결재자1 을 비우고 [승인요청]</v>
      </c>
      <c r="G25" s="9" t="str">
        <f>IFERROR(VLOOKUP($D25, '테스트 케이스'!$D$6:$G$982, 4, FALSE), "")</f>
        <v>안내가 뜨고 요청되지 않음</v>
      </c>
      <c r="H25" s="4" t="s">
        <v>21</v>
      </c>
      <c r="I25" s="11" t="s">
        <v>22</v>
      </c>
      <c r="J25" s="24"/>
      <c r="K25" s="25">
        <v>46322</v>
      </c>
      <c r="L25" s="4"/>
      <c r="M25" s="5"/>
      <c r="N25" s="5"/>
      <c r="O25" s="5"/>
      <c r="P25" s="5"/>
    </row>
    <row r="26" spans="1:16" ht="27" x14ac:dyDescent="0.3">
      <c r="A26" s="40"/>
      <c r="B26" s="40"/>
      <c r="C26" s="26" t="s">
        <v>51</v>
      </c>
      <c r="D26" s="1" t="s">
        <v>53</v>
      </c>
      <c r="E26" s="9" t="str">
        <f>IFERROR(VLOOKUP($D26, '테스트 케이스'!$D$6:$G$982, 2, FALSE), "")</f>
        <v>필수결재자 N 단계에 결재자가 없으면 결재선에서 빠진다.</v>
      </c>
      <c r="F26" s="9" t="str">
        <f>IFERROR(VLOOKUP($D26, '테스트 케이스'!$D$6:$G$982, 3, FALSE), "")</f>
        <v>필수결재자 N 단계는 비우고, Y 단계만 최신영 → [승인요청] → 문서 결재자목록 탭</v>
      </c>
      <c r="G26" s="9" t="str">
        <f>IFERROR(VLOOKUP($D26, '테스트 케이스'!$D$6:$G$982, 4, FALSE), "")</f>
        <v>요청되고, 결재자목록에 비운 단계가 없음</v>
      </c>
      <c r="H26" s="4" t="s">
        <v>21</v>
      </c>
      <c r="I26" s="11" t="s">
        <v>22</v>
      </c>
      <c r="J26" s="24"/>
      <c r="K26" s="25">
        <v>46322</v>
      </c>
      <c r="L26" s="4"/>
      <c r="M26" s="5"/>
      <c r="N26" s="5"/>
      <c r="O26" s="5"/>
      <c r="P26" s="5"/>
    </row>
    <row r="27" spans="1:16" x14ac:dyDescent="0.3">
      <c r="A27" s="40"/>
      <c r="B27" s="40"/>
      <c r="C27" s="40"/>
      <c r="D27" s="1" t="s">
        <v>54</v>
      </c>
      <c r="E27" s="9" t="str">
        <f>IFERROR(VLOOKUP($D27, '테스트 케이스'!$D$6:$G$982, 2, FALSE), "")</f>
        <v>승인요청 한다.</v>
      </c>
      <c r="F27" s="9" t="str">
        <f>IFERROR(VLOOKUP($D27, '테스트 케이스'!$D$6:$G$982, 3, FALSE), "")</f>
        <v>결재자 최신영 → [승인요청] → OK</v>
      </c>
      <c r="G27" s="9" t="str">
        <f>IFERROR(VLOOKUP($D27, '테스트 케이스'!$D$6:$G$982, 4, FALSE), "")</f>
        <v>"결재요청 되었습니다" 안내 후 팝업이 닫히고 문서 상태 = 결재요청</v>
      </c>
      <c r="H27" s="4" t="s">
        <v>21</v>
      </c>
      <c r="I27" s="11" t="s">
        <v>22</v>
      </c>
      <c r="J27" s="24"/>
      <c r="K27" s="25">
        <v>46322</v>
      </c>
      <c r="L27" s="4"/>
      <c r="M27" s="5"/>
      <c r="N27" s="5"/>
      <c r="O27" s="5"/>
      <c r="P27" s="5"/>
    </row>
    <row r="28" spans="1:16" ht="27" x14ac:dyDescent="0.3">
      <c r="A28" s="40"/>
      <c r="B28" s="40"/>
      <c r="C28" s="40"/>
      <c r="D28" s="1" t="s">
        <v>55</v>
      </c>
      <c r="E28" s="9" t="str">
        <f>IFERROR(VLOOKUP($D28, '테스트 케이스'!$D$6:$G$982, 2, FALSE), "")</f>
        <v>요청 시 신청자·기안일자를 갱신한다.</v>
      </c>
      <c r="F28" s="9" t="str">
        <f>IFERROR(VLOOKUP($D28, '테스트 케이스'!$D$6:$G$982, 3, FALSE), "")</f>
        <v>요청 후 [개인설정 &gt; 결재요청내역]과 문서 결재자목록 탭</v>
      </c>
      <c r="G28" s="9" t="str">
        <f>IFERROR(VLOOKUP($D28, '테스트 케이스'!$D$6:$G$982, 4, FALSE), "")</f>
        <v>결재요청내역에 요청일자 = 오늘로 보이고, 결재자목록 기안자 = 로그인 사용자</v>
      </c>
      <c r="H28" s="4" t="s">
        <v>21</v>
      </c>
      <c r="I28" s="11" t="s">
        <v>22</v>
      </c>
      <c r="J28" s="24"/>
      <c r="K28" s="25">
        <v>46322</v>
      </c>
      <c r="L28" s="4"/>
      <c r="M28" s="5"/>
      <c r="N28" s="5"/>
      <c r="O28" s="5"/>
      <c r="P28" s="5"/>
    </row>
    <row r="29" spans="1:16" x14ac:dyDescent="0.3">
      <c r="A29" s="40"/>
      <c r="B29" s="40"/>
      <c r="C29" s="40"/>
      <c r="D29" s="1" t="s">
        <v>56</v>
      </c>
      <c r="E29" s="9" t="str">
        <f>IFERROR(VLOOKUP($D29, '테스트 케이스'!$D$6:$G$982, 2, FALSE), "")</f>
        <v>요청 후 화면 상태조건을 적용한다.</v>
      </c>
      <c r="F29" s="9" t="str">
        <f>IFERROR(VLOOKUP($D29, '테스트 케이스'!$D$6:$G$982, 3, FALSE), "")</f>
        <v>요청한 문서 상세를 다시 연다</v>
      </c>
      <c r="G29" s="9" t="str">
        <f>IFERROR(VLOOKUP($D29, '테스트 케이스'!$D$6:$G$982, 4, FALSE), "")</f>
        <v>[승인요청]·[저장] 버튼이 보이지 않음</v>
      </c>
      <c r="H29" s="4" t="s">
        <v>21</v>
      </c>
      <c r="I29" s="11" t="s">
        <v>22</v>
      </c>
      <c r="J29" s="24"/>
      <c r="K29" s="25">
        <v>46322</v>
      </c>
      <c r="L29" s="4"/>
      <c r="M29" s="5"/>
      <c r="N29" s="5"/>
      <c r="O29" s="5"/>
      <c r="P29" s="5"/>
    </row>
    <row r="30" spans="1:16" ht="27" x14ac:dyDescent="0.3">
      <c r="A30" s="40"/>
      <c r="B30" s="41"/>
      <c r="C30" s="41"/>
      <c r="D30" s="1" t="s">
        <v>57</v>
      </c>
      <c r="E30" s="9" t="str">
        <f>IFERROR(VLOOKUP($D30, '테스트 케이스'!$D$6:$G$982, 2, FALSE), "")</f>
        <v>요청한 건을 결재한다.</v>
      </c>
      <c r="F30" s="9" t="str">
        <f>IFERROR(VLOOKUP($D30, '테스트 케이스'!$D$6:$G$982, 3, FALSE), "")</f>
        <v>[개인설정 &gt; 결재대기] → 체크 → [결재처리] → [승인] (단계마다)</v>
      </c>
      <c r="G30" s="9" t="str">
        <f>IFERROR(VLOOKUP($D30, '테스트 케이스'!$D$6:$G$982, 4, FALSE), "")</f>
        <v>결재요청내역 요청상태 = 결재완료, 결재이력에 보임, 문서 상태 = 승인완료</v>
      </c>
      <c r="H30" s="4" t="s">
        <v>21</v>
      </c>
      <c r="I30" s="11" t="s">
        <v>22</v>
      </c>
      <c r="J30" s="24"/>
      <c r="K30" s="25">
        <v>46322</v>
      </c>
      <c r="L30" s="4"/>
      <c r="M30" s="5"/>
      <c r="N30" s="5"/>
      <c r="O30" s="5"/>
      <c r="P30" s="5"/>
    </row>
    <row r="31" spans="1:16" ht="27" x14ac:dyDescent="0.3">
      <c r="A31" s="40"/>
      <c r="B31" s="1" t="s">
        <v>58</v>
      </c>
      <c r="C31" s="1" t="s">
        <v>18</v>
      </c>
      <c r="D31" s="1" t="s">
        <v>59</v>
      </c>
      <c r="E31" s="9" t="str">
        <f>IFERROR(VLOOKUP($D31, '테스트 케이스'!$D$6:$G$982, 2, FALSE), "")</f>
        <v>작업결과(WORKORDER) 결재요청을 한다.</v>
      </c>
      <c r="F31" s="9" t="str">
        <f>IFERROR(VLOOKUP($D31, '테스트 케이스'!$D$6:$G$982, 3, FALSE), "")</f>
        <v>[sychoi] 데이터 상세 [승인요청] → 결재자 최신영 → [승인요청] → 결재대기에서 승인</v>
      </c>
      <c r="G31" s="9" t="str">
        <f>IFERROR(VLOOKUP($D31, '테스트 케이스'!$D$6:$G$982, 4, FALSE), "")</f>
        <v>결재라인이 승인Flow설정(작업결과)과 같고, 요청 후 문서 상태 = 결재요청, 결재요청내역 요청타입 = 작업결과, 승인하면 결재완료</v>
      </c>
      <c r="H31" s="4" t="s">
        <v>21</v>
      </c>
      <c r="I31" s="11" t="s">
        <v>22</v>
      </c>
      <c r="J31" s="24"/>
      <c r="K31" s="25">
        <v>46322</v>
      </c>
      <c r="L31" s="4"/>
      <c r="M31" s="5"/>
      <c r="N31" s="5"/>
      <c r="O31" s="5"/>
      <c r="P31" s="5"/>
    </row>
    <row r="32" spans="1:16" ht="40.5" x14ac:dyDescent="0.3">
      <c r="A32" s="40"/>
      <c r="B32" s="1" t="s">
        <v>60</v>
      </c>
      <c r="C32" s="1" t="s">
        <v>18</v>
      </c>
      <c r="D32" s="1" t="s">
        <v>61</v>
      </c>
      <c r="E32" s="9" t="str">
        <f>IFERROR(VLOOKUP($D32, '테스트 케이스'!$D$6:$G$982, 2, FALSE), "")</f>
        <v>고장영향성평가(WORKFMEA) 결재요청을 한다.</v>
      </c>
      <c r="F32" s="9" t="str">
        <f>IFERROR(VLOOKUP($D32, '테스트 케이스'!$D$6:$G$982, 3, FALSE), "")</f>
        <v>[sychoi] 데이터 상세 [승인요청] → 결재자 최신영 → [승인요청] → 결재대기에서 승인</v>
      </c>
      <c r="G32" s="9" t="str">
        <f>IFERROR(VLOOKUP($D32, '테스트 케이스'!$D$6:$G$982, 4, FALSE), "")</f>
        <v>결재라인이 승인Flow설정(고장영향성평가)과 같고, 요청 후 문서 상태 = 결재요청, 결재요청내역 요청타입 = 고장영향성평가, 승인하면 결재완료</v>
      </c>
      <c r="H32" s="4" t="s">
        <v>21</v>
      </c>
      <c r="I32" s="11" t="s">
        <v>22</v>
      </c>
      <c r="J32" s="24"/>
      <c r="K32" s="25">
        <v>46322</v>
      </c>
      <c r="L32" s="4"/>
      <c r="M32" s="5"/>
      <c r="N32" s="5"/>
      <c r="O32" s="5"/>
      <c r="P32" s="5"/>
    </row>
    <row r="33" spans="1:16" ht="27" x14ac:dyDescent="0.3">
      <c r="A33" s="40"/>
      <c r="B33" s="1" t="s">
        <v>62</v>
      </c>
      <c r="C33" s="1" t="s">
        <v>18</v>
      </c>
      <c r="D33" s="1" t="s">
        <v>63</v>
      </c>
      <c r="E33" s="9" t="str">
        <f>IFERROR(VLOOKUP($D33, '테스트 케이스'!$D$6:$G$982, 2, FALSE), "")</f>
        <v>작업요청(REQWORK) 결재요청을 한다.</v>
      </c>
      <c r="F33" s="9" t="str">
        <f>IFERROR(VLOOKUP($D33, '테스트 케이스'!$D$6:$G$982, 3, FALSE), "")</f>
        <v>[sychoi] 데이터 상세 [승인요청] → 결재자 최신영 → [승인요청] → 결재대기에서 승인</v>
      </c>
      <c r="G33" s="9" t="str">
        <f>IFERROR(VLOOKUP($D33, '테스트 케이스'!$D$6:$G$982, 4, FALSE), "")</f>
        <v>결재라인이 승인Flow설정(작업요청)과 같고, 요청 후 문서 상태 = 결재요청, 결재요청내역 요청타입 = 작업요청, 승인하면 결재완료</v>
      </c>
      <c r="H33" s="4" t="s">
        <v>21</v>
      </c>
      <c r="I33" s="11" t="s">
        <v>22</v>
      </c>
      <c r="J33" s="24"/>
      <c r="K33" s="25">
        <v>46322</v>
      </c>
      <c r="L33" s="4"/>
      <c r="M33" s="5"/>
      <c r="N33" s="5"/>
      <c r="O33" s="5"/>
      <c r="P33" s="5"/>
    </row>
    <row r="34" spans="1:16" ht="27" x14ac:dyDescent="0.3">
      <c r="A34" s="40"/>
      <c r="B34" s="1" t="s">
        <v>64</v>
      </c>
      <c r="C34" s="1" t="s">
        <v>18</v>
      </c>
      <c r="D34" s="1" t="s">
        <v>65</v>
      </c>
      <c r="E34" s="9" t="str">
        <f>IFERROR(VLOOKUP($D34, '테스트 케이스'!$D$6:$G$982, 2, FALSE), "")</f>
        <v>구매요청(PTBUYREQ) 결재요청을 한다.</v>
      </c>
      <c r="F34" s="9" t="str">
        <f>IFERROR(VLOOKUP($D34, '테스트 케이스'!$D$6:$G$982, 3, FALSE), "")</f>
        <v>[sychoi] 데이터 상세 [승인요청] → 결재자 최신영 → [승인요청] → 결재대기에서 승인</v>
      </c>
      <c r="G34" s="9" t="str">
        <f>IFERROR(VLOOKUP($D34, '테스트 케이스'!$D$6:$G$982, 4, FALSE), "")</f>
        <v>결재라인이 승인Flow설정(구매요청)과 같고, 요청 후 문서 상태 = 결재요청, 결재요청내역 요청타입 = 구매요청, 승인하면 결재완료</v>
      </c>
      <c r="H34" s="4" t="s">
        <v>21</v>
      </c>
      <c r="I34" s="11" t="s">
        <v>22</v>
      </c>
      <c r="J34" s="24"/>
      <c r="K34" s="25">
        <v>46322</v>
      </c>
      <c r="L34" s="4"/>
      <c r="M34" s="5"/>
      <c r="N34" s="5"/>
      <c r="O34" s="5"/>
      <c r="P34" s="5"/>
    </row>
    <row r="35" spans="1:16" ht="27" x14ac:dyDescent="0.3">
      <c r="A35" s="40"/>
      <c r="B35" s="1" t="s">
        <v>66</v>
      </c>
      <c r="C35" s="1" t="s">
        <v>18</v>
      </c>
      <c r="D35" s="1" t="s">
        <v>67</v>
      </c>
      <c r="E35" s="9" t="str">
        <f>IFERROR(VLOOKUP($D35, '테스트 케이스'!$D$6:$G$982, 2, FALSE), "")</f>
        <v>부품실사(PTSTKTAKE) 결재요청을 한다.</v>
      </c>
      <c r="F35" s="9" t="str">
        <f>IFERROR(VLOOKUP($D35, '테스트 케이스'!$D$6:$G$982, 3, FALSE), "")</f>
        <v>[sychoi] 데이터 상세 [승인요청] → 결재자 최신영 → [승인요청] → 결재대기에서 승인</v>
      </c>
      <c r="G35" s="9" t="str">
        <f>IFERROR(VLOOKUP($D35, '테스트 케이스'!$D$6:$G$982, 4, FALSE), "")</f>
        <v>결재라인이 승인Flow설정(부품실사)과 같고, 요청 후 문서 상태 = 결재요청, 결재요청내역 요청타입 = 부품실사, 승인하면 결재완료</v>
      </c>
      <c r="H35" s="4" t="s">
        <v>21</v>
      </c>
      <c r="I35" s="11" t="s">
        <v>22</v>
      </c>
      <c r="J35" s="24"/>
      <c r="K35" s="25">
        <v>46322</v>
      </c>
      <c r="L35" s="4"/>
      <c r="M35" s="5"/>
      <c r="N35" s="5"/>
      <c r="O35" s="5"/>
      <c r="P35" s="5"/>
    </row>
    <row r="36" spans="1:16" ht="81" x14ac:dyDescent="0.3">
      <c r="A36" s="40"/>
      <c r="B36" s="1" t="s">
        <v>68</v>
      </c>
      <c r="C36" s="1" t="s">
        <v>18</v>
      </c>
      <c r="D36" s="1" t="s">
        <v>69</v>
      </c>
      <c r="E36" s="9" t="str">
        <f>IFERROR(VLOOKUP($D36, '테스트 케이스'!$D$6:$G$982, 2, FALSE), "")</f>
        <v>작업계획서(WOPLAN) 결재요청을 한다.</v>
      </c>
      <c r="F36" s="9" t="str">
        <f>IFERROR(VLOOKUP($D36, '테스트 케이스'!$D$6:$G$982, 3, FALSE), "")</f>
        <v>[sychoi] 데이터 상세 [승인요청] → 결재자 최신영 → [승인요청] → 결재대기에서 승인</v>
      </c>
      <c r="G36" s="9" t="str">
        <f>IFERROR(VLOOKUP($D36, '테스트 케이스'!$D$6:$G$982, 4, FALSE), "")</f>
        <v>결재라인이 승인Flow설정(작업계획서)과 같고, 요청 후 문서 상태 = 결재요청, 결재요청내역 요청타입 = 작업계획서, 승인하면 결재완료</v>
      </c>
      <c r="H36" s="4" t="s">
        <v>21</v>
      </c>
      <c r="I36" s="48" t="s">
        <v>22</v>
      </c>
      <c r="J36" s="45" t="s">
        <v>70</v>
      </c>
      <c r="K36" s="46">
        <v>46323</v>
      </c>
      <c r="L36" s="47" t="s">
        <v>71</v>
      </c>
      <c r="M36" s="5"/>
      <c r="N36" s="5"/>
      <c r="O36" s="5"/>
      <c r="P36" s="5"/>
    </row>
    <row r="37" spans="1:16" ht="40.5" x14ac:dyDescent="0.3">
      <c r="A37" s="40"/>
      <c r="B37" s="1" t="s">
        <v>72</v>
      </c>
      <c r="C37" s="1" t="s">
        <v>18</v>
      </c>
      <c r="D37" s="1" t="s">
        <v>73</v>
      </c>
      <c r="E37" s="9" t="str">
        <f>IFERROR(VLOOKUP($D37, '테스트 케이스'!$D$6:$G$982, 2, FALSE), "")</f>
        <v>일상점검계획승인(PMINSDSCHED) 결재요청을 한다.</v>
      </c>
      <c r="F37" s="9" t="str">
        <f>IFERROR(VLOOKUP($D37, '테스트 케이스'!$D$6:$G$982, 3, FALSE), "")</f>
        <v>[sychoi] 데이터 상세 [승인요청] → 결재자 최신영 → [승인요청] → 결재대기에서 승인</v>
      </c>
      <c r="G37" s="9" t="str">
        <f>IFERROR(VLOOKUP($D37, '테스트 케이스'!$D$6:$G$982, 4, FALSE), "")</f>
        <v>결재라인이 승인Flow설정(일상점검계획승인)과 같고, 요청 후 문서 상태 = 결재요청, 결재요청내역 요청타입 = 일상점검계획승인, 승인하면 결재완료</v>
      </c>
      <c r="H37" s="4" t="s">
        <v>21</v>
      </c>
      <c r="I37" s="11" t="s">
        <v>22</v>
      </c>
      <c r="J37" s="24"/>
      <c r="K37" s="25">
        <v>46322</v>
      </c>
      <c r="L37" s="4"/>
      <c r="M37" s="5"/>
      <c r="N37" s="5"/>
      <c r="O37" s="5"/>
      <c r="P37" s="5"/>
    </row>
    <row r="38" spans="1:16" ht="27" x14ac:dyDescent="0.3">
      <c r="A38" s="40"/>
      <c r="B38" s="1" t="s">
        <v>74</v>
      </c>
      <c r="C38" s="1" t="s">
        <v>18</v>
      </c>
      <c r="D38" s="1" t="s">
        <v>75</v>
      </c>
      <c r="E38" s="9" t="str">
        <f>IFERROR(VLOOKUP($D38, '테스트 케이스'!$D$6:$G$982, 2, FALSE), "")</f>
        <v>일일업무일지(WRKDAYRPT) 결재요청을 한다.</v>
      </c>
      <c r="F38" s="9" t="str">
        <f>IFERROR(VLOOKUP($D38, '테스트 케이스'!$D$6:$G$982, 3, FALSE), "")</f>
        <v>[sychoi] 데이터 상세 [승인요청] → 결재자 최신영 → [승인요청] → 결재대기에서 승인</v>
      </c>
      <c r="G38" s="9" t="str">
        <f>IFERROR(VLOOKUP($D38, '테스트 케이스'!$D$6:$G$982, 4, FALSE), "")</f>
        <v>결재라인이 승인Flow설정(일일업무일지)과 같고, 요청 후 문서 상태 = 결재요청, 결재요청내역 요청타입 = 일일업무일지, 승인하면 결재완료</v>
      </c>
      <c r="H38" s="4" t="s">
        <v>21</v>
      </c>
      <c r="I38" s="11" t="s">
        <v>22</v>
      </c>
      <c r="J38" s="24"/>
      <c r="K38" s="25">
        <v>46322</v>
      </c>
      <c r="L38" s="4"/>
      <c r="M38" s="5"/>
      <c r="N38" s="5"/>
      <c r="O38" s="5"/>
      <c r="P38" s="5"/>
    </row>
    <row r="39" spans="1:16" ht="27" x14ac:dyDescent="0.3">
      <c r="A39" s="40"/>
      <c r="B39" s="1" t="s">
        <v>76</v>
      </c>
      <c r="C39" s="1" t="s">
        <v>18</v>
      </c>
      <c r="D39" s="1" t="s">
        <v>77</v>
      </c>
      <c r="E39" s="9" t="str">
        <f>IFERROR(VLOOKUP($D39, '테스트 케이스'!$D$6:$G$982, 2, FALSE), "")</f>
        <v>부품수리(PTREPAIR) 결재요청을 한다.</v>
      </c>
      <c r="F39" s="9" t="str">
        <f>IFERROR(VLOOKUP($D39, '테스트 케이스'!$D$6:$G$982, 3, FALSE), "")</f>
        <v>[sychoi] 데이터 상세 [승인요청] → 결재자 최신영 → [승인요청] → 결재대기에서 승인</v>
      </c>
      <c r="G39" s="9" t="str">
        <f>IFERROR(VLOOKUP($D39, '테스트 케이스'!$D$6:$G$982, 4, FALSE), "")</f>
        <v>결재라인이 승인Flow설정(부품수리)과 같고, 요청 후 문서 상태 = 결재요청, 결재요청내역 요청타입 = 부품수리, 승인하면 결재완료</v>
      </c>
      <c r="H39" s="4" t="s">
        <v>21</v>
      </c>
      <c r="I39" s="11" t="s">
        <v>22</v>
      </c>
      <c r="J39" s="24"/>
      <c r="K39" s="25">
        <v>46322</v>
      </c>
      <c r="L39" s="4"/>
      <c r="M39" s="5"/>
      <c r="N39" s="5"/>
      <c r="O39" s="5"/>
      <c r="P39" s="5"/>
    </row>
    <row r="40" spans="1:16" ht="27" x14ac:dyDescent="0.3">
      <c r="A40" s="40"/>
      <c r="B40" s="1" t="s">
        <v>78</v>
      </c>
      <c r="C40" s="1" t="s">
        <v>18</v>
      </c>
      <c r="D40" s="1" t="s">
        <v>79</v>
      </c>
      <c r="E40" s="9" t="str">
        <f>IFERROR(VLOOKUP($D40, '테스트 케이스'!$D$6:$G$982, 2, FALSE), "")</f>
        <v>설비제개정(EQUIPREV) 제정 결재요청을 한다.</v>
      </c>
      <c r="F40" s="9" t="str">
        <f>IFERROR(VLOOKUP($D40, '테스트 케이스'!$D$6:$G$982, 3, FALSE), "")</f>
        <v>[생성] → Revision 제정 팝업 [저장] → [sychoi] 상세 저장 → [승인요청] → 결재자 최신영 → [승인요청] → 결재대기에서 승인</v>
      </c>
      <c r="G40" s="9" t="str">
        <f>IFERROR(VLOOKUP($D40, '테스트 케이스'!$D$6:$G$982, 4, FALSE), "")</f>
        <v>결재라인이 승인Flow설정(설비제개정)과 같고, 요청 후 문서 상태 = 결재요청, 결재요청내역 요청타입 = 설비제개정, 승인하면 결재완료</v>
      </c>
      <c r="H40" s="4" t="s">
        <v>21</v>
      </c>
      <c r="I40" s="11" t="s">
        <v>22</v>
      </c>
      <c r="J40" s="24"/>
      <c r="K40" s="25">
        <v>46322</v>
      </c>
      <c r="L40" s="4"/>
      <c r="M40" s="5"/>
      <c r="N40" s="5"/>
      <c r="O40" s="5"/>
      <c r="P40" s="5"/>
    </row>
    <row r="41" spans="1:16" ht="108" x14ac:dyDescent="0.3">
      <c r="A41" s="40"/>
      <c r="B41" s="1" t="s">
        <v>80</v>
      </c>
      <c r="C41" s="1" t="s">
        <v>18</v>
      </c>
      <c r="D41" s="1" t="s">
        <v>278</v>
      </c>
      <c r="E41" s="9" t="str">
        <f>IFERROR(VLOOKUP($D41, '테스트 케이스'!$D$6:$G$982, 2, FALSE), "")</f>
        <v>계측기제개정(EQTLREV) 제정 결재요청을 한다.</v>
      </c>
      <c r="F41" s="9" t="str">
        <f>IFERROR(VLOOKUP($D41, '테스트 케이스'!$D$6:$G$982, 3, FALSE), "")</f>
        <v>[생성] → Revision 제정 팝업 [저장] → [sychoi] 상세 저장 → [승인요청] → 결재자 최신영 → [승인요청] → 결재대기에서 승인</v>
      </c>
      <c r="G41" s="9" t="str">
        <f>IFERROR(VLOOKUP($D41, '테스트 케이스'!$D$6:$G$982, 4, FALSE), "")</f>
        <v>결재라인이 승인Flow설정(계측기제개정)과 같고, 요청 후 문서 상태 = 결재요청, 결재요청내역 요청타입 = 계측기제개정, 승인하면 결재완료</v>
      </c>
      <c r="H41" s="4" t="s">
        <v>21</v>
      </c>
      <c r="I41" s="48" t="s">
        <v>82</v>
      </c>
      <c r="J41" s="45" t="s">
        <v>277</v>
      </c>
      <c r="K41" s="46">
        <v>46323</v>
      </c>
      <c r="L41" s="47" t="s">
        <v>83</v>
      </c>
      <c r="M41" s="5"/>
      <c r="N41" s="5"/>
      <c r="O41" s="5"/>
      <c r="P41" s="5"/>
    </row>
    <row r="42" spans="1:16" ht="40.5" x14ac:dyDescent="0.3">
      <c r="A42" s="40"/>
      <c r="B42" s="1" t="s">
        <v>84</v>
      </c>
      <c r="C42" s="1" t="s">
        <v>18</v>
      </c>
      <c r="D42" s="1" t="s">
        <v>85</v>
      </c>
      <c r="E42" s="9" t="str">
        <f>IFERROR(VLOOKUP($D42, '테스트 케이스'!$D$6:$G$982, 2, FALSE), "")</f>
        <v>점검Group(PMIGRPRSLT) 결재요청을 한다.</v>
      </c>
      <c r="F42" s="9" t="str">
        <f>IFERROR(VLOOKUP($D42, '테스트 케이스'!$D$6:$G$982, 3, FALSE), "")</f>
        <v>[sychoi] 데이터 상세 [승인요청] → 결재자 최신영 → [승인요청] → 결재대기에서 승인</v>
      </c>
      <c r="G42" s="9" t="str">
        <f>IFERROR(VLOOKUP($D42, '테스트 케이스'!$D$6:$G$982, 4, FALSE), "")</f>
        <v>결재라인이 승인Flow설정(점검Group)과 같고, 요청 후 문서 상태 = 결재요청, 결재요청내역 요청타입 = 점검Group, 승인하면 결재완료</v>
      </c>
      <c r="H42" s="4" t="s">
        <v>21</v>
      </c>
      <c r="I42" s="11" t="s">
        <v>22</v>
      </c>
      <c r="J42" s="24"/>
      <c r="K42" s="25">
        <v>46323</v>
      </c>
      <c r="L42" s="4"/>
      <c r="M42" s="5"/>
      <c r="N42" s="5"/>
      <c r="O42" s="5"/>
      <c r="P42" s="5"/>
    </row>
    <row r="43" spans="1:16" ht="40.5" x14ac:dyDescent="0.3">
      <c r="A43" s="40"/>
      <c r="B43" s="1" t="s">
        <v>86</v>
      </c>
      <c r="C43" s="1" t="s">
        <v>18</v>
      </c>
      <c r="D43" s="1" t="s">
        <v>87</v>
      </c>
      <c r="E43" s="9" t="str">
        <f>IFERROR(VLOOKUP($D43, '테스트 케이스'!$D$6:$G$982, 2, FALSE), "")</f>
        <v>점검주기제개정 결재(PMINSREV) 제정 결재요청을 한다.</v>
      </c>
      <c r="F43" s="9" t="str">
        <f>IFERROR(VLOOKUP($D43, '테스트 케이스'!$D$6:$G$982, 3, FALSE), "")</f>
        <v>[생성] → Revision 제정 팝업 [저장] → [sychoi] 상세 저장 → [승인요청] → 결재자 최신영 → [승인요청] → 결재대기에서 승인</v>
      </c>
      <c r="G43" s="9" t="str">
        <f>IFERROR(VLOOKUP($D43, '테스트 케이스'!$D$6:$G$982, 4, FALSE), "")</f>
        <v>결재라인이 승인Flow설정(점검주기제개정 결재)과 같고, 요청 후 문서 상태 = 결재요청, 결재요청내역 요청타입 = 점검주기제개정 결재, 승인하면 결재완료</v>
      </c>
      <c r="H43" s="4" t="s">
        <v>21</v>
      </c>
      <c r="I43" s="11" t="s">
        <v>22</v>
      </c>
      <c r="J43" s="24"/>
      <c r="K43" s="25">
        <v>46322</v>
      </c>
      <c r="L43" s="4"/>
      <c r="M43" s="5"/>
      <c r="N43" s="5"/>
      <c r="O43" s="5"/>
      <c r="P43" s="5"/>
    </row>
    <row r="44" spans="1:16" ht="27" x14ac:dyDescent="0.3">
      <c r="A44" s="40"/>
      <c r="B44" s="1" t="s">
        <v>88</v>
      </c>
      <c r="C44" s="1" t="s">
        <v>18</v>
      </c>
      <c r="D44" s="1" t="s">
        <v>89</v>
      </c>
      <c r="E44" s="9" t="str">
        <f>IFERROR(VLOOKUP($D44, '테스트 케이스'!$D$6:$G$982, 2, FALSE), "")</f>
        <v>공사작업계획(OHPLAN) 결재요청을 한다.</v>
      </c>
      <c r="F44" s="9" t="str">
        <f>IFERROR(VLOOKUP($D44, '테스트 케이스'!$D$6:$G$982, 3, FALSE), "")</f>
        <v>[sychoi] 데이터 상세 [승인요청] → 결재자 최신영 → [승인요청] → 결재대기에서 승인</v>
      </c>
      <c r="G44" s="9" t="str">
        <f>IFERROR(VLOOKUP($D44, '테스트 케이스'!$D$6:$G$982, 4, FALSE), "")</f>
        <v>결재라인이 승인Flow설정(공사작업계획)과 같고, 요청 후 문서 상태 = 결재요청, 결재요청내역 요청타입 = 공사작업계획, 승인하면 결재완료</v>
      </c>
      <c r="H44" s="4" t="s">
        <v>21</v>
      </c>
      <c r="I44" s="11" t="s">
        <v>22</v>
      </c>
      <c r="J44" s="24"/>
      <c r="K44" s="25">
        <v>46322</v>
      </c>
      <c r="L44" s="4"/>
      <c r="M44" s="5"/>
      <c r="N44" s="5"/>
      <c r="O44" s="5"/>
      <c r="P44" s="5"/>
    </row>
    <row r="45" spans="1:16" ht="27" x14ac:dyDescent="0.3">
      <c r="A45" s="40"/>
      <c r="B45" s="1" t="s">
        <v>90</v>
      </c>
      <c r="C45" s="1" t="s">
        <v>18</v>
      </c>
      <c r="D45" s="1" t="s">
        <v>91</v>
      </c>
      <c r="E45" s="9" t="str">
        <f>IFERROR(VLOOKUP($D45, '테스트 케이스'!$D$6:$G$982, 2, FALSE), "")</f>
        <v>로그시트등록(LOGSHEET) 결재요청을 한다.</v>
      </c>
      <c r="F45" s="9" t="str">
        <f>IFERROR(VLOOKUP($D45, '테스트 케이스'!$D$6:$G$982, 3, FALSE), "")</f>
        <v>[sychoi] 데이터 상세 [승인요청] → 결재자 최신영 → [승인요청] → 결재대기에서 승인</v>
      </c>
      <c r="G45" s="9" t="str">
        <f>IFERROR(VLOOKUP($D45, '테스트 케이스'!$D$6:$G$982, 4, FALSE), "")</f>
        <v>결재라인이 승인Flow설정(로그시트등록)과 같고, 요청 후 문서 상태 = 결재요청, 결재요청내역 요청타입 = 로그시트등록, 승인하면 결재완료</v>
      </c>
      <c r="H45" s="4" t="s">
        <v>21</v>
      </c>
      <c r="I45" s="11" t="s">
        <v>22</v>
      </c>
      <c r="J45" s="24"/>
      <c r="K45" s="25">
        <v>46322</v>
      </c>
      <c r="L45" s="4"/>
      <c r="M45" s="5"/>
      <c r="N45" s="5"/>
      <c r="O45" s="5"/>
      <c r="P45" s="5"/>
    </row>
    <row r="46" spans="1:16" ht="40.5" x14ac:dyDescent="0.3">
      <c r="A46" s="40"/>
      <c r="B46" s="1" t="s">
        <v>92</v>
      </c>
      <c r="C46" s="1" t="s">
        <v>18</v>
      </c>
      <c r="D46" s="1" t="s">
        <v>93</v>
      </c>
      <c r="E46" s="9" t="str">
        <f>IFERROR(VLOOKUP($D46, '테스트 케이스'!$D$6:$G$982, 2, FALSE), "")</f>
        <v>수리작업결재(WOAPPRLIST) 결재요청을 한다.</v>
      </c>
      <c r="F46" s="9" t="str">
        <f>IFERROR(VLOOKUP($D46, '테스트 케이스'!$D$6:$G$982, 3, FALSE), "")</f>
        <v>[sychoi] 데이터 상세 [승인요청] → 결재자 최신영 → [승인요청] → 결재대기에서 승인</v>
      </c>
      <c r="G46" s="9" t="str">
        <f>IFERROR(VLOOKUP($D46, '테스트 케이스'!$D$6:$G$982, 4, FALSE), "")</f>
        <v>결재라인이 승인Flow설정(수리작업결재)과 같고, 요청 후 문서 상태 = 결재요청, 결재요청내역 요청타입 = 수리작업결재, 승인하면 결재완료</v>
      </c>
      <c r="H46" s="4" t="s">
        <v>21</v>
      </c>
      <c r="I46" s="11" t="s">
        <v>22</v>
      </c>
      <c r="J46" s="24"/>
      <c r="K46" s="25">
        <v>46322</v>
      </c>
      <c r="L46" s="4"/>
      <c r="M46" s="5"/>
      <c r="N46" s="5"/>
      <c r="O46" s="5"/>
      <c r="P46" s="5"/>
    </row>
    <row r="47" spans="1:16" ht="40.5" x14ac:dyDescent="0.3">
      <c r="A47" s="40"/>
      <c r="B47" s="1" t="s">
        <v>94</v>
      </c>
      <c r="C47" s="1" t="s">
        <v>18</v>
      </c>
      <c r="D47" s="1" t="s">
        <v>95</v>
      </c>
      <c r="E47" s="9" t="str">
        <f>IFERROR(VLOOKUP($D47, '테스트 케이스'!$D$6:$G$982, 2, FALSE), "")</f>
        <v>순회점검실행(PTRLRESULT) 결재요청을 한다.</v>
      </c>
      <c r="F47" s="9" t="str">
        <f>IFERROR(VLOOKUP($D47, '테스트 케이스'!$D$6:$G$982, 3, FALSE), "")</f>
        <v>[sychoi] 데이터 상세 [승인요청] → 결재자 최신영 → [승인요청] → 결재대기에서 승인</v>
      </c>
      <c r="G47" s="9" t="str">
        <f>IFERROR(VLOOKUP($D47, '테스트 케이스'!$D$6:$G$982, 4, FALSE), "")</f>
        <v>결재라인이 승인Flow설정(순회점검실행)과 같고, 요청 후 문서 상태 = 결재요청, 결재요청내역 요청타입 = 순회점검실행, 승인하면 결재완료</v>
      </c>
      <c r="H47" s="4" t="s">
        <v>21</v>
      </c>
      <c r="I47" s="11" t="s">
        <v>22</v>
      </c>
      <c r="J47" s="24"/>
      <c r="K47" s="25">
        <v>46323</v>
      </c>
      <c r="L47" s="4"/>
      <c r="M47" s="5"/>
      <c r="N47" s="5"/>
      <c r="O47" s="5"/>
      <c r="P47" s="5"/>
    </row>
    <row r="48" spans="1:16" ht="27" x14ac:dyDescent="0.3">
      <c r="A48" s="40"/>
      <c r="B48" s="1" t="s">
        <v>96</v>
      </c>
      <c r="C48" s="1" t="s">
        <v>18</v>
      </c>
      <c r="D48" s="1" t="s">
        <v>97</v>
      </c>
      <c r="E48" s="9" t="str">
        <f>IFERROR(VLOOKUP($D48, '테스트 케이스'!$D$6:$G$982, 2, FALSE), "")</f>
        <v>일일작업승인(WODAY) 결재요청을 한다.</v>
      </c>
      <c r="F48" s="9" t="str">
        <f>IFERROR(VLOOKUP($D48, '테스트 케이스'!$D$6:$G$982, 3, FALSE), "")</f>
        <v>[sychoi] 데이터 상세 [승인요청] → 결재자 최신영 → [승인요청] → 결재대기에서 승인</v>
      </c>
      <c r="G48" s="9" t="str">
        <f>IFERROR(VLOOKUP($D48, '테스트 케이스'!$D$6:$G$982, 4, FALSE), "")</f>
        <v>결재라인이 승인Flow설정(일일작업승인)과 같고, 요청 후 문서 상태 = 결재요청, 결재요청내역 요청타입 = 일일작업승인, 승인하면 결재완료</v>
      </c>
      <c r="H48" s="4" t="s">
        <v>21</v>
      </c>
      <c r="I48" s="11" t="s">
        <v>22</v>
      </c>
      <c r="J48" s="24"/>
      <c r="K48" s="25">
        <v>46322</v>
      </c>
      <c r="L48" s="4"/>
      <c r="M48" s="5"/>
      <c r="N48" s="5"/>
      <c r="O48" s="5"/>
      <c r="P48" s="5"/>
    </row>
    <row r="49" spans="1:16" ht="27" x14ac:dyDescent="0.3">
      <c r="A49" s="40"/>
      <c r="B49" s="1" t="s">
        <v>98</v>
      </c>
      <c r="C49" s="1" t="s">
        <v>18</v>
      </c>
      <c r="D49" s="1" t="s">
        <v>99</v>
      </c>
      <c r="E49" s="9" t="str">
        <f>IFERROR(VLOOKUP($D49, '테스트 케이스'!$D$6:$G$982, 2, FALSE), "")</f>
        <v>투자목록(INVTLIST) 결재요청을 한다.</v>
      </c>
      <c r="F49" s="9" t="str">
        <f>IFERROR(VLOOKUP($D49, '테스트 케이스'!$D$6:$G$982, 3, FALSE), "")</f>
        <v>[sychoi] 데이터 상세 [승인요청] → 결재자 최신영 → [승인요청] → 결재대기에서 승인</v>
      </c>
      <c r="G49" s="9" t="str">
        <f>IFERROR(VLOOKUP($D49, '테스트 케이스'!$D$6:$G$982, 4, FALSE), "")</f>
        <v>결재라인이 승인Flow설정(투자목록)과 같고, 요청 후 문서 상태 = 결재요청, 결재요청내역 요청타입 = 투자목록, 승인하면 결재완료</v>
      </c>
      <c r="H49" s="4" t="s">
        <v>21</v>
      </c>
      <c r="I49" s="11" t="s">
        <v>22</v>
      </c>
      <c r="J49" s="24"/>
      <c r="K49" s="25">
        <v>46322</v>
      </c>
      <c r="L49" s="4"/>
      <c r="M49" s="5"/>
      <c r="N49" s="5"/>
      <c r="O49" s="5"/>
      <c r="P49" s="5"/>
    </row>
    <row r="50" spans="1:16" ht="40.5" x14ac:dyDescent="0.3">
      <c r="A50" s="40"/>
      <c r="B50" s="1" t="s">
        <v>100</v>
      </c>
      <c r="C50" s="1" t="s">
        <v>18</v>
      </c>
      <c r="D50" s="1" t="s">
        <v>101</v>
      </c>
      <c r="E50" s="9" t="str">
        <f>IFERROR(VLOOKUP($D50, '테스트 케이스'!$D$6:$G$982, 2, FALSE), "")</f>
        <v>예방점검계획승인(PMINSSCHED) 결재요청을 한다.</v>
      </c>
      <c r="F50" s="9" t="str">
        <f>IFERROR(VLOOKUP($D50, '테스트 케이스'!$D$6:$G$982, 3, FALSE), "")</f>
        <v>[sychoi] 데이터 상세 [승인요청] → 결재자 최신영 → [승인요청] → 결재대기에서 승인</v>
      </c>
      <c r="G50" s="9" t="str">
        <f>IFERROR(VLOOKUP($D50, '테스트 케이스'!$D$6:$G$982, 4, FALSE), "")</f>
        <v>결재라인이 승인Flow설정(예방점검계획승인)과 같고, 요청 후 문서 상태 = 결재요청, 결재요청내역 요청타입 = 예방점검계획승인, 승인하면 결재완료</v>
      </c>
      <c r="H50" s="4" t="s">
        <v>21</v>
      </c>
      <c r="I50" s="11" t="s">
        <v>22</v>
      </c>
      <c r="J50" s="24"/>
      <c r="K50" s="25">
        <v>46322</v>
      </c>
      <c r="L50" s="4"/>
      <c r="M50" s="5"/>
      <c r="N50" s="5"/>
      <c r="O50" s="5"/>
      <c r="P50" s="5"/>
    </row>
    <row r="51" spans="1:16" ht="40.5" x14ac:dyDescent="0.3">
      <c r="A51" s="40"/>
      <c r="B51" s="1" t="s">
        <v>102</v>
      </c>
      <c r="C51" s="1" t="s">
        <v>18</v>
      </c>
      <c r="D51" s="1" t="s">
        <v>103</v>
      </c>
      <c r="E51" s="9" t="str">
        <f>IFERROR(VLOOKUP($D51, '테스트 케이스'!$D$6:$G$982, 2, FALSE), "")</f>
        <v>작업계획승인(WOPLANAPPR) 결재요청을 한다.</v>
      </c>
      <c r="F51" s="9" t="str">
        <f>IFERROR(VLOOKUP($D51, '테스트 케이스'!$D$6:$G$982, 3, FALSE), "")</f>
        <v>[sychoi] 데이터 상세 [승인요청] → 결재자 최신영 → [승인요청] → 결재대기에서 승인</v>
      </c>
      <c r="G51" s="9" t="str">
        <f>IFERROR(VLOOKUP($D51, '테스트 케이스'!$D$6:$G$982, 4, FALSE), "")</f>
        <v>결재라인이 승인Flow설정(작업계획승인)과 같고, 요청 후 문서 상태 = 결재요청, 결재요청내역 요청타입 = 작업계획승인, 승인하면 결재완료</v>
      </c>
      <c r="H51" s="4" t="s">
        <v>21</v>
      </c>
      <c r="I51" s="11" t="s">
        <v>22</v>
      </c>
      <c r="J51" s="24"/>
      <c r="K51" s="25">
        <v>46322</v>
      </c>
      <c r="L51" s="4"/>
      <c r="M51" s="5"/>
      <c r="N51" s="5"/>
      <c r="O51" s="5"/>
      <c r="P51" s="5"/>
    </row>
    <row r="52" spans="1:16" ht="40.5" x14ac:dyDescent="0.3">
      <c r="A52" s="40"/>
      <c r="B52" s="1" t="s">
        <v>104</v>
      </c>
      <c r="C52" s="1" t="s">
        <v>18</v>
      </c>
      <c r="D52" s="1" t="s">
        <v>105</v>
      </c>
      <c r="E52" s="9" t="str">
        <f>IFERROR(VLOOKUP($D52, '테스트 케이스'!$D$6:$G$982, 2, FALSE), "")</f>
        <v>점검실시 결재(PMINSRSLT) 결재요청을 한다.</v>
      </c>
      <c r="F52" s="9" t="str">
        <f>IFERROR(VLOOKUP($D52, '테스트 케이스'!$D$6:$G$982, 3, FALSE), "")</f>
        <v>[sychoi] 데이터 상세 [승인요청] → 결재자 최신영 → [승인요청] → 결재대기에서 승인</v>
      </c>
      <c r="G52" s="9" t="str">
        <f>IFERROR(VLOOKUP($D52, '테스트 케이스'!$D$6:$G$982, 4, FALSE), "")</f>
        <v>결재라인이 승인Flow설정(점검실시 결재)과 같고, 요청 후 문서 상태 = 결재요청, 결재요청내역 요청타입 = 점검실시 결재, 승인하면 결재완료</v>
      </c>
      <c r="H52" s="4" t="s">
        <v>21</v>
      </c>
      <c r="I52" s="11" t="s">
        <v>22</v>
      </c>
      <c r="J52" s="24"/>
      <c r="K52" s="25">
        <v>46322</v>
      </c>
      <c r="L52" s="4"/>
      <c r="M52" s="5"/>
      <c r="N52" s="5"/>
      <c r="O52" s="5"/>
      <c r="P52" s="5"/>
    </row>
    <row r="53" spans="1:16" ht="27" x14ac:dyDescent="0.3">
      <c r="A53" s="40"/>
      <c r="B53" s="1" t="s">
        <v>106</v>
      </c>
      <c r="C53" s="1" t="s">
        <v>18</v>
      </c>
      <c r="D53" s="1" t="s">
        <v>107</v>
      </c>
      <c r="E53" s="9" t="str">
        <f>IFERROR(VLOOKUP($D53, '테스트 케이스'!$D$6:$G$982, 2, FALSE), "")</f>
        <v>변경발의요청(MOCREQ) 결재요청을 한다.</v>
      </c>
      <c r="F53" s="9" t="str">
        <f>IFERROR(VLOOKUP($D53, '테스트 케이스'!$D$6:$G$982, 3, FALSE), "")</f>
        <v>[sychoi] 데이터 상세 [승인요청] → 결재자 최신영 → [승인요청] → 결재대기에서 승인</v>
      </c>
      <c r="G53" s="9" t="str">
        <f>IFERROR(VLOOKUP($D53, '테스트 케이스'!$D$6:$G$982, 4, FALSE), "")</f>
        <v>결재라인이 승인Flow설정(변경발의요청)과 같고, 요청 후 문서 상태 = 결재요청, 결재요청내역 요청타입 = 변경발의요청, 승인하면 결재완료</v>
      </c>
      <c r="H53" s="4" t="s">
        <v>21</v>
      </c>
      <c r="I53" s="11" t="s">
        <v>22</v>
      </c>
      <c r="J53" s="24"/>
      <c r="K53" s="25">
        <v>46322</v>
      </c>
      <c r="L53" s="4"/>
      <c r="M53" s="5"/>
      <c r="N53" s="5"/>
      <c r="O53" s="5"/>
      <c r="P53" s="5"/>
    </row>
    <row r="54" spans="1:16" ht="27" x14ac:dyDescent="0.3">
      <c r="A54" s="40"/>
      <c r="B54" s="1" t="s">
        <v>108</v>
      </c>
      <c r="C54" s="1" t="s">
        <v>18</v>
      </c>
      <c r="D54" s="1" t="s">
        <v>109</v>
      </c>
      <c r="E54" s="9" t="str">
        <f>IFERROR(VLOOKUP($D54, '테스트 케이스'!$D$6:$G$982, 2, FALSE), "")</f>
        <v>변경발의(MOCREC) 결재요청을 한다.</v>
      </c>
      <c r="F54" s="9" t="str">
        <f>IFERROR(VLOOKUP($D54, '테스트 케이스'!$D$6:$G$982, 3, FALSE), "")</f>
        <v>[sychoi] 데이터 상세 [승인요청] → 결재자 최신영 → [승인요청] → 결재대기에서 승인</v>
      </c>
      <c r="G54" s="9" t="str">
        <f>IFERROR(VLOOKUP($D54, '테스트 케이스'!$D$6:$G$982, 4, FALSE), "")</f>
        <v>결재라인이 승인Flow설정(변경발의)과 같고, 요청 후 문서 상태 = 결재요청, 결재요청내역 요청타입 = 변경발의, 승인하면 결재완료</v>
      </c>
      <c r="H54" s="4" t="s">
        <v>21</v>
      </c>
      <c r="I54" s="11" t="s">
        <v>22</v>
      </c>
      <c r="J54" s="24"/>
      <c r="K54" s="25">
        <v>46322</v>
      </c>
      <c r="L54" s="4"/>
      <c r="M54" s="5"/>
      <c r="N54" s="5"/>
      <c r="O54" s="5"/>
      <c r="P54" s="5"/>
    </row>
    <row r="55" spans="1:16" ht="27" x14ac:dyDescent="0.3">
      <c r="A55" s="40"/>
      <c r="B55" s="1" t="s">
        <v>110</v>
      </c>
      <c r="C55" s="1" t="s">
        <v>18</v>
      </c>
      <c r="D55" s="1" t="s">
        <v>111</v>
      </c>
      <c r="E55" s="9" t="str">
        <f>IFERROR(VLOOKUP($D55, '테스트 케이스'!$D$6:$G$982, 2, FALSE), "")</f>
        <v>변경위원회(MOCCMTEE) 결재요청을 한다.</v>
      </c>
      <c r="F55" s="9" t="str">
        <f>IFERROR(VLOOKUP($D55, '테스트 케이스'!$D$6:$G$982, 3, FALSE), "")</f>
        <v>[sychoi] 데이터 상세 [승인요청] → 결재자 최신영 → [승인요청] → 결재대기에서 승인</v>
      </c>
      <c r="G55" s="9" t="str">
        <f>IFERROR(VLOOKUP($D55, '테스트 케이스'!$D$6:$G$982, 4, FALSE), "")</f>
        <v>결재라인이 승인Flow설정(변경위원회)과 같고, 요청 후 문서 상태 = 결재요청, 결재요청내역 요청타입 = 변경위원회, 승인하면 결재완료</v>
      </c>
      <c r="H55" s="4" t="s">
        <v>21</v>
      </c>
      <c r="I55" s="49" t="s">
        <v>22</v>
      </c>
      <c r="J55" s="50"/>
      <c r="K55" s="51">
        <v>46323</v>
      </c>
      <c r="L55" s="52"/>
      <c r="M55" s="5"/>
      <c r="N55" s="5"/>
      <c r="O55" s="5"/>
      <c r="P55" s="5"/>
    </row>
    <row r="56" spans="1:16" ht="27" x14ac:dyDescent="0.3">
      <c r="A56" s="40"/>
      <c r="B56" s="1" t="s">
        <v>112</v>
      </c>
      <c r="C56" s="1" t="s">
        <v>18</v>
      </c>
      <c r="D56" s="1" t="s">
        <v>113</v>
      </c>
      <c r="E56" s="9" t="str">
        <f>IFERROR(VLOOKUP($D56, '테스트 케이스'!$D$6:$G$982, 2, FALSE), "")</f>
        <v>변경작업(MOCWORK) 결재요청을 한다.</v>
      </c>
      <c r="F56" s="9" t="str">
        <f>IFERROR(VLOOKUP($D56, '테스트 케이스'!$D$6:$G$982, 3, FALSE), "")</f>
        <v>[sychoi] 데이터 상세 [승인요청] → 결재자 최신영 → [승인요청] → 결재대기에서 승인</v>
      </c>
      <c r="G56" s="9" t="str">
        <f>IFERROR(VLOOKUP($D56, '테스트 케이스'!$D$6:$G$982, 4, FALSE), "")</f>
        <v>결재라인이 승인Flow설정(변경작업)과 같고, 요청 후 문서 상태 = 결재요청, 결재요청내역 요청타입 = 변경작업, 승인하면 결재완료</v>
      </c>
      <c r="H56" s="4" t="s">
        <v>21</v>
      </c>
      <c r="I56" s="49" t="s">
        <v>22</v>
      </c>
      <c r="J56" s="50"/>
      <c r="K56" s="51">
        <v>46323</v>
      </c>
      <c r="L56" s="52"/>
      <c r="M56" s="5"/>
      <c r="N56" s="5"/>
      <c r="O56" s="5"/>
      <c r="P56" s="5"/>
    </row>
    <row r="57" spans="1:16" ht="40.5" x14ac:dyDescent="0.3">
      <c r="A57" s="40"/>
      <c r="B57" s="1" t="s">
        <v>114</v>
      </c>
      <c r="C57" s="1" t="s">
        <v>18</v>
      </c>
      <c r="D57" s="1" t="s">
        <v>115</v>
      </c>
      <c r="E57" s="9" t="str">
        <f>IFERROR(VLOOKUP($D57, '테스트 케이스'!$D$6:$G$982, 2, FALSE), "")</f>
        <v>특별점검(PMIER) 결재요청을 한다.</v>
      </c>
      <c r="F57" s="9" t="str">
        <f>IFERROR(VLOOKUP($D57, '테스트 케이스'!$D$6:$G$982, 3, FALSE), "")</f>
        <v>[sychoi] 데이터 상세 [승인요청] → 결재자 최신영 → [승인요청] → 결재대기에서 승인</v>
      </c>
      <c r="G57" s="9" t="str">
        <f>IFERROR(VLOOKUP($D57, '테스트 케이스'!$D$6:$G$982, 4, FALSE), "")</f>
        <v>결재라인이 승인Flow설정(특별점검)과 같고, 요청 후 문서 상태 = 결재요청, 결재요청내역 요청타입 = 특별점검, 승인하면 결재완료</v>
      </c>
      <c r="H57" s="4" t="s">
        <v>21</v>
      </c>
      <c r="I57" s="11" t="s">
        <v>22</v>
      </c>
      <c r="J57" s="24"/>
      <c r="K57" s="25">
        <v>46322</v>
      </c>
      <c r="L57" s="4"/>
      <c r="M57" s="5"/>
      <c r="N57" s="5"/>
      <c r="O57" s="5"/>
      <c r="P57" s="5"/>
    </row>
    <row r="58" spans="1:16" ht="27" x14ac:dyDescent="0.3">
      <c r="A58" s="40"/>
      <c r="B58" s="1" t="s">
        <v>78</v>
      </c>
      <c r="C58" s="1" t="s">
        <v>18</v>
      </c>
      <c r="D58" s="1" t="s">
        <v>116</v>
      </c>
      <c r="E58" s="9" t="str">
        <f>IFERROR(VLOOKUP($D58, '테스트 케이스'!$D$6:$G$982, 2, FALSE), "")</f>
        <v>설비제개정(EQUIPREV) 개정 결재요청을 한다.</v>
      </c>
      <c r="F58" s="9" t="str">
        <f>IFERROR(VLOOKUP($D58, '테스트 케이스'!$D$6:$G$982, 3, FALSE), "")</f>
        <v>기존 데이터 상세 [개정] → Revision 팝업 [저장] → [승인요청] → 결재자 최신영 → [승인요청] → 결재대기에서 승인</v>
      </c>
      <c r="G58" s="9" t="str">
        <f>IFERROR(VLOOKUP($D58, '테스트 케이스'!$D$6:$G$982, 4, FALSE), "")</f>
        <v>결재라인이 승인Flow설정(설비제개정)과 같고, 요청 후 문서 상태 = 결재요청, 결재요청내역 요청타입 = 설비제개정, 승인하면 결재완료</v>
      </c>
      <c r="H58" s="4" t="s">
        <v>21</v>
      </c>
      <c r="I58" s="11" t="s">
        <v>22</v>
      </c>
      <c r="J58" s="24"/>
      <c r="K58" s="25">
        <v>46322</v>
      </c>
      <c r="L58" s="4"/>
      <c r="M58" s="5"/>
      <c r="N58" s="5"/>
      <c r="O58" s="5"/>
      <c r="P58" s="5"/>
    </row>
    <row r="59" spans="1:16" ht="27" x14ac:dyDescent="0.3">
      <c r="A59" s="40"/>
      <c r="B59" s="1" t="s">
        <v>80</v>
      </c>
      <c r="C59" s="1" t="s">
        <v>18</v>
      </c>
      <c r="D59" s="1" t="s">
        <v>117</v>
      </c>
      <c r="E59" s="9" t="str">
        <f>IFERROR(VLOOKUP($D59, '테스트 케이스'!$D$6:$G$982, 2, FALSE), "")</f>
        <v>계측기제개정(EQTLREV) 개정 결재요청을 한다.</v>
      </c>
      <c r="F59" s="9" t="str">
        <f>IFERROR(VLOOKUP($D59, '테스트 케이스'!$D$6:$G$982, 3, FALSE), "")</f>
        <v>기존 데이터 상세 [개정] → Revision 팝업 [저장] → [승인요청] → 결재자 최신영 → [승인요청] → 결재대기에서 승인</v>
      </c>
      <c r="G59" s="9" t="str">
        <f>IFERROR(VLOOKUP($D59, '테스트 케이스'!$D$6:$G$982, 4, FALSE), "")</f>
        <v>결재라인이 승인Flow설정(계측기제개정)과 같고, 요청 후 문서 상태 = 결재요청, 결재요청내역 요청타입 = 계측기제개정, 승인하면 결재완료</v>
      </c>
      <c r="H59" s="4" t="s">
        <v>21</v>
      </c>
      <c r="I59" s="11" t="s">
        <v>22</v>
      </c>
      <c r="J59" s="24"/>
      <c r="K59" s="25">
        <v>46322</v>
      </c>
      <c r="L59" s="4"/>
      <c r="M59" s="5"/>
      <c r="N59" s="5"/>
      <c r="O59" s="5"/>
      <c r="P59" s="5"/>
    </row>
    <row r="60" spans="1:16" ht="40.5" x14ac:dyDescent="0.3">
      <c r="A60" s="41"/>
      <c r="B60" s="1" t="s">
        <v>86</v>
      </c>
      <c r="C60" s="1" t="s">
        <v>18</v>
      </c>
      <c r="D60" s="1" t="s">
        <v>118</v>
      </c>
      <c r="E60" s="9" t="str">
        <f>IFERROR(VLOOKUP($D60, '테스트 케이스'!$D$6:$G$982, 2, FALSE), "")</f>
        <v>점검주기제개정 결재(PMINSREV) 개정 결재요청을 한다.</v>
      </c>
      <c r="F60" s="9" t="str">
        <f>IFERROR(VLOOKUP($D60, '테스트 케이스'!$D$6:$G$982, 3, FALSE), "")</f>
        <v>기존 데이터 상세 [개정] → Revision 팝업 [저장] → [승인요청] → 결재자 최신영 → [승인요청] → 결재대기에서 승인</v>
      </c>
      <c r="G60" s="9" t="str">
        <f>IFERROR(VLOOKUP($D60, '테스트 케이스'!$D$6:$G$982, 4, FALSE), "")</f>
        <v>결재라인이 승인Flow설정(점검주기제개정 결재)과 같고, 요청 후 문서 상태 = 결재요청, 결재요청내역 요청타입 = 점검주기제개정 결재, 승인하면 결재완료</v>
      </c>
      <c r="H60" s="4" t="s">
        <v>21</v>
      </c>
      <c r="I60" s="11" t="s">
        <v>22</v>
      </c>
      <c r="J60" s="24"/>
      <c r="K60" s="25">
        <v>46322</v>
      </c>
      <c r="L60" s="4"/>
      <c r="M60" s="5"/>
      <c r="N60" s="5"/>
      <c r="O60" s="5"/>
      <c r="P60" s="5"/>
    </row>
    <row r="63" spans="1:16" x14ac:dyDescent="0.3">
      <c r="A63" s="43" t="s">
        <v>119</v>
      </c>
    </row>
    <row r="64" spans="1:16" ht="27" x14ac:dyDescent="0.3">
      <c r="A64" s="15" t="s">
        <v>1</v>
      </c>
      <c r="B64" s="16" t="s">
        <v>2</v>
      </c>
      <c r="C64" s="15" t="s">
        <v>3</v>
      </c>
      <c r="D64" s="15" t="s">
        <v>4</v>
      </c>
      <c r="E64" s="15" t="s">
        <v>5</v>
      </c>
      <c r="F64" s="15" t="s">
        <v>6</v>
      </c>
      <c r="G64" s="15" t="s">
        <v>7</v>
      </c>
      <c r="H64" s="17" t="s">
        <v>8</v>
      </c>
      <c r="I64" s="17" t="s">
        <v>9</v>
      </c>
      <c r="J64" s="17" t="s">
        <v>10</v>
      </c>
      <c r="K64" s="18" t="s">
        <v>11</v>
      </c>
      <c r="L64" s="18" t="s">
        <v>12</v>
      </c>
      <c r="M64" s="19" t="s">
        <v>13</v>
      </c>
      <c r="N64" s="19" t="s">
        <v>14</v>
      </c>
      <c r="O64" s="20" t="s">
        <v>15</v>
      </c>
      <c r="P64" s="21" t="s">
        <v>16</v>
      </c>
    </row>
    <row r="65" spans="1:16" x14ac:dyDescent="0.3">
      <c r="A65" s="26" t="s">
        <v>17</v>
      </c>
      <c r="B65" s="1" t="s">
        <v>18</v>
      </c>
      <c r="C65" s="1" t="s">
        <v>120</v>
      </c>
      <c r="D65" s="1" t="s">
        <v>121</v>
      </c>
      <c r="E65" s="9" t="str">
        <f>IFERROR(VLOOKUP($D65, '테스트 케이스'!$D$6:$G$982, 2, FALSE), "")</f>
        <v>제목 길이 초과를 확인한다.</v>
      </c>
      <c r="F65" s="9" t="str">
        <f>IFERROR(VLOOKUP($D65, '테스트 케이스'!$D$6:$G$982, 3, FALSE), "")</f>
        <v>제목에 한글 200자 → [저장]</v>
      </c>
      <c r="G65" s="9" t="str">
        <f>IFERROR(VLOOKUP($D65, '테스트 케이스'!$D$6:$G$982, 4, FALSE), "")</f>
        <v>길이 초과 안내가 뜸</v>
      </c>
      <c r="H65" s="4" t="s">
        <v>21</v>
      </c>
      <c r="I65" s="11" t="s">
        <v>22</v>
      </c>
      <c r="J65" s="24"/>
      <c r="K65" s="25">
        <v>46322</v>
      </c>
      <c r="L65" s="4"/>
      <c r="M65" s="5"/>
      <c r="N65" s="5"/>
      <c r="O65" s="5"/>
      <c r="P65" s="5"/>
    </row>
    <row r="66" spans="1:16" x14ac:dyDescent="0.3">
      <c r="A66" s="40"/>
      <c r="B66" s="26" t="s">
        <v>34</v>
      </c>
      <c r="C66" s="26" t="s">
        <v>37</v>
      </c>
      <c r="D66" s="1" t="s">
        <v>122</v>
      </c>
      <c r="E66" s="9" t="str">
        <f>IFERROR(VLOOKUP($D66, '테스트 케이스'!$D$6:$G$982, 2, FALSE), "")</f>
        <v>같은 결재자를 같은 단계에 두 번 넣는다.</v>
      </c>
      <c r="F66" s="9" t="str">
        <f>IFERROR(VLOOKUP($D66, '테스트 케이스'!$D$6:$G$982, 3, FALSE), "")</f>
        <v>결재자1·결재자2 에 최신영 → [저장]</v>
      </c>
      <c r="G66" s="9" t="str">
        <f>IFERROR(VLOOKUP($D66, '테스트 케이스'!$D$6:$G$982, 4, FALSE), "")</f>
        <v>중복 안내가 뜨거나 한 명만 저장됨</v>
      </c>
      <c r="H66" s="4" t="s">
        <v>21</v>
      </c>
      <c r="I66" s="49" t="s">
        <v>22</v>
      </c>
      <c r="J66" s="50"/>
      <c r="K66" s="51">
        <v>46322</v>
      </c>
      <c r="L66" s="52"/>
      <c r="M66" s="5"/>
      <c r="N66" s="5"/>
      <c r="O66" s="5"/>
      <c r="P66" s="5"/>
    </row>
    <row r="67" spans="1:16" x14ac:dyDescent="0.3">
      <c r="A67" s="40"/>
      <c r="B67" s="40"/>
      <c r="C67" s="41"/>
      <c r="D67" s="1" t="s">
        <v>123</v>
      </c>
      <c r="E67" s="9" t="str">
        <f>IFERROR(VLOOKUP($D67, '테스트 케이스'!$D$6:$G$982, 2, FALSE), "")</f>
        <v>결재자 칸에 없는 이름을 직접 입력한다.</v>
      </c>
      <c r="F67" s="9" t="str">
        <f>IFERROR(VLOOKUP($D67, '테스트 케이스'!$D$6:$G$982, 3, FALSE), "")</f>
        <v>결재자1 칸에 "없는사람" 입력 → [저장]</v>
      </c>
      <c r="G67" s="9" t="str">
        <f>IFERROR(VLOOKUP($D67, '테스트 케이스'!$D$6:$G$982, 4, FALSE), "")</f>
        <v>저장되지 않거나 칸이 비워짐</v>
      </c>
      <c r="H67" s="4" t="s">
        <v>21</v>
      </c>
      <c r="I67" s="11" t="s">
        <v>22</v>
      </c>
      <c r="J67" s="24"/>
      <c r="K67" s="25">
        <v>46322</v>
      </c>
      <c r="L67" s="4"/>
      <c r="M67" s="5"/>
      <c r="N67" s="5"/>
      <c r="O67" s="5"/>
      <c r="P67" s="5"/>
    </row>
    <row r="68" spans="1:16" x14ac:dyDescent="0.3">
      <c r="A68" s="40"/>
      <c r="B68" s="41"/>
      <c r="C68" s="1" t="s">
        <v>28</v>
      </c>
      <c r="D68" s="1" t="s">
        <v>124</v>
      </c>
      <c r="E68" s="9" t="str">
        <f>IFERROR(VLOOKUP($D68, '테스트 케이스'!$D$6:$G$982, 2, FALSE), "")</f>
        <v>저장하지 않고 닫으면 반영되지 않는다.</v>
      </c>
      <c r="F68" s="9" t="str">
        <f>IFERROR(VLOOKUP($D68, '테스트 케이스'!$D$6:$G$982, 3, FALSE), "")</f>
        <v>결재자 지정 → 저장 없이 팝업 닫기 → 다시 연다</v>
      </c>
      <c r="G68" s="9" t="str">
        <f>IFERROR(VLOOKUP($D68, '테스트 케이스'!$D$6:$G$982, 4, FALSE), "")</f>
        <v>지정 전 값 그대로</v>
      </c>
      <c r="H68" s="4" t="s">
        <v>21</v>
      </c>
      <c r="I68" s="11" t="s">
        <v>22</v>
      </c>
      <c r="J68" s="24"/>
      <c r="K68" s="25">
        <v>46322</v>
      </c>
      <c r="L68" s="4"/>
      <c r="M68" s="5"/>
      <c r="N68" s="5"/>
      <c r="O68" s="5"/>
      <c r="P68" s="5"/>
    </row>
    <row r="69" spans="1:16" x14ac:dyDescent="0.3">
      <c r="A69" s="41"/>
      <c r="B69" s="1" t="s">
        <v>51</v>
      </c>
      <c r="C69" s="1" t="s">
        <v>51</v>
      </c>
      <c r="D69" s="1" t="s">
        <v>125</v>
      </c>
      <c r="E69" s="9" t="str">
        <f>IFERROR(VLOOKUP($D69, '테스트 케이스'!$D$6:$G$982, 2, FALSE), "")</f>
        <v>결재가 끝난 문서는 다시 요청할 수 없다.</v>
      </c>
      <c r="F69" s="9" t="str">
        <f>IFERROR(VLOOKUP($D69, '테스트 케이스'!$D$6:$G$982, 3, FALSE), "")</f>
        <v>결재완료 문서 상세</v>
      </c>
      <c r="G69" s="9" t="str">
        <f>IFERROR(VLOOKUP($D69, '테스트 케이스'!$D$6:$G$982, 4, FALSE), "")</f>
        <v>[승인요청] 버튼이 없음</v>
      </c>
      <c r="H69" s="4" t="s">
        <v>21</v>
      </c>
      <c r="I69" s="11" t="s">
        <v>22</v>
      </c>
      <c r="J69" s="24"/>
      <c r="K69" s="25">
        <v>46322</v>
      </c>
      <c r="L69" s="4"/>
      <c r="M69" s="5"/>
      <c r="N69" s="5"/>
      <c r="O69" s="5"/>
      <c r="P69" s="5"/>
    </row>
  </sheetData>
  <mergeCells count="16">
    <mergeCell ref="A2:P2"/>
    <mergeCell ref="A6:A60"/>
    <mergeCell ref="C26:C30"/>
    <mergeCell ref="C23:C24"/>
    <mergeCell ref="B13:B24"/>
    <mergeCell ref="C66:C67"/>
    <mergeCell ref="C17:C18"/>
    <mergeCell ref="A65:A69"/>
    <mergeCell ref="B25:B30"/>
    <mergeCell ref="B66:B68"/>
    <mergeCell ref="C19:C20"/>
    <mergeCell ref="C15:C16"/>
    <mergeCell ref="C6:C7"/>
    <mergeCell ref="B6:B12"/>
    <mergeCell ref="C13:C14"/>
    <mergeCell ref="C9:C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테스트 케이스</vt:lpstr>
      <vt:lpstr>Dev 조치사항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신영</dc:creator>
  <cp:lastModifiedBy>최 신영</cp:lastModifiedBy>
  <dcterms:created xsi:type="dcterms:W3CDTF">2025-02-10T07:03:31Z</dcterms:created>
  <dcterms:modified xsi:type="dcterms:W3CDTF">2026-10-28T03:31:51Z</dcterms:modified>
</cp:coreProperties>
</file>