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4" fontId="2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9" fontId="4" fillId="2" borderId="1" applyAlignment="1" pivotButton="0" quotePrefix="0" xfId="0">
      <alignment vertical="center" wrapText="1"/>
    </xf>
    <xf numFmtId="49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14" fontId="2" fillId="4" borderId="5" applyAlignment="1" pivotButton="0" quotePrefix="0" xfId="0">
      <alignment horizontal="center" vertical="center" wrapText="1"/>
    </xf>
    <xf numFmtId="0" fontId="2" fillId="6" borderId="5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4" fontId="2" fillId="6" borderId="1" applyAlignment="1" pivotButton="0" quotePrefix="0" xfId="0">
      <alignment horizontal="center" vertical="center" wrapText="1"/>
    </xf>
    <xf numFmtId="14" fontId="9" fillId="0" borderId="5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28" min="1" max="1"/>
    <col width="15.375" customWidth="1" style="28" min="2" max="2"/>
    <col width="8.75" bestFit="1" customWidth="1" style="26" min="3" max="3"/>
    <col width="14.5" bestFit="1" customWidth="1" style="11" min="4" max="4"/>
    <col width="43.5" customWidth="1" style="11" min="5" max="5"/>
    <col width="61.875" customWidth="1" style="11" min="6" max="6"/>
    <col width="60.5" bestFit="1" customWidth="1" style="11" min="7" max="7"/>
    <col width="14" customWidth="1" style="1" min="8" max="8"/>
    <col width="18.25" customWidth="1" style="1" min="9" max="9"/>
    <col width="37.875" customWidth="1" style="25" min="10" max="10"/>
    <col width="21" customWidth="1" style="1" min="11" max="11"/>
    <col width="9" customWidth="1" style="11" min="12" max="16384"/>
  </cols>
  <sheetData>
    <row r="2" ht="31.5" customHeight="1" s="53">
      <c r="A2" s="49">
        <f>"Dream 4.1 "&amp;CLEAN(A6)&amp;" 단위테스트"</f>
        <v/>
      </c>
    </row>
    <row r="4">
      <c r="A4" s="37" t="inlineStr">
        <is>
          <t>공통</t>
        </is>
      </c>
      <c r="B4" s="38" t="n"/>
      <c r="C4" s="9" t="n"/>
      <c r="D4" s="10" t="n"/>
      <c r="E4" s="9" t="n"/>
      <c r="F4" s="9" t="n"/>
      <c r="G4" s="9" t="n"/>
      <c r="H4" s="39" t="n"/>
      <c r="I4" s="10" t="n"/>
      <c r="J4" s="22" t="n"/>
      <c r="K4" s="40" t="inlineStr">
        <is>
          <t>H,I,J,K 행 수식 수정 금지</t>
        </is>
      </c>
    </row>
    <row r="5" ht="27" customHeight="1" s="53">
      <c r="A5" s="29" t="inlineStr">
        <is>
          <t>메뉴명</t>
        </is>
      </c>
      <c r="B5" s="30" t="inlineStr">
        <is>
          <t>탭 명</t>
        </is>
      </c>
      <c r="C5" s="29" t="inlineStr">
        <is>
          <t>기능</t>
        </is>
      </c>
      <c r="D5" s="29" t="inlineStr">
        <is>
          <t>테스트ID</t>
        </is>
      </c>
      <c r="E5" s="29" t="inlineStr">
        <is>
          <t>CASE</t>
        </is>
      </c>
      <c r="F5" s="29" t="inlineStr">
        <is>
          <t>STEP</t>
        </is>
      </c>
      <c r="G5" s="29" t="inlineStr">
        <is>
          <t>테스트 예상 결과</t>
        </is>
      </c>
      <c r="H5" s="31" t="inlineStr">
        <is>
          <t>QA</t>
        </is>
      </c>
      <c r="I5" s="31" t="inlineStr">
        <is>
          <t>QA결과 
(정상/오류)</t>
        </is>
      </c>
      <c r="J5" s="31" t="inlineStr">
        <is>
          <t>QA내용</t>
        </is>
      </c>
      <c r="K5" s="17" t="inlineStr">
        <is>
          <t>QA날짜</t>
        </is>
      </c>
    </row>
    <row r="6" ht="16.5" customHeight="1" s="53">
      <c r="A6" s="50" t="inlineStr">
        <is>
          <t>정기점검주기_AD230</t>
        </is>
      </c>
      <c r="B6" s="50" t="inlineStr">
        <is>
          <t>목록(조건)</t>
        </is>
      </c>
      <c r="C6" s="50" t="inlineStr">
        <is>
          <t>검색</t>
        </is>
      </c>
      <c r="D6" s="50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5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6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24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41">
        <f>_xlfn.MAXIFS('Dev 조치사항'!$K$6:$K$1004, 'Dev 조치사항'!$D$6:$D$1004, D6)</f>
        <v/>
      </c>
    </row>
    <row r="7">
      <c r="A7" s="54" t="n"/>
      <c r="B7" s="54" t="n"/>
      <c r="C7" s="50" t="inlineStr">
        <is>
          <t>검색</t>
        </is>
      </c>
      <c r="D7" s="50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5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6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24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41">
        <f>_xlfn.MAXIFS('Dev 조치사항'!$K$6:$K$1004, 'Dev 조치사항'!$D$6:$D$1004, D7)</f>
        <v/>
      </c>
    </row>
    <row r="8">
      <c r="A8" s="54" t="n"/>
      <c r="B8" s="54" t="n"/>
      <c r="C8" s="54" t="n"/>
      <c r="D8" s="50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5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6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24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41">
        <f>_xlfn.MAXIFS('Dev 조치사항'!$K$6:$K$1004, 'Dev 조치사항'!$D$6:$D$1004, D8)</f>
        <v/>
      </c>
    </row>
    <row r="9" ht="27" customHeight="1" s="53">
      <c r="A9" s="54" t="n"/>
      <c r="B9" s="54" t="n"/>
      <c r="C9" s="54" t="n"/>
      <c r="D9" s="50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5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6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24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41">
        <f>_xlfn.MAXIFS('Dev 조치사항'!$K$6:$K$1004, 'Dev 조치사항'!$D$6:$D$1004, D9)</f>
        <v/>
      </c>
    </row>
    <row r="10" ht="33" customHeight="1" s="53">
      <c r="A10" s="54" t="n"/>
      <c r="B10" s="54" t="n"/>
      <c r="C10" s="54" t="n"/>
      <c r="D10" s="50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5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6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24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41">
        <f>_xlfn.MAXIFS('Dev 조치사항'!$K$6:$K$1004, 'Dev 조치사항'!$D$6:$D$1004, D10)</f>
        <v/>
      </c>
    </row>
    <row r="11">
      <c r="A11" s="54" t="n"/>
      <c r="B11" s="54" t="n"/>
      <c r="C11" s="54" t="n"/>
      <c r="D11" s="50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5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6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24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41">
        <f>_xlfn.MAXIFS('Dev 조치사항'!$K$6:$K$1004, 'Dev 조치사항'!$D$6:$D$1004, D11)</f>
        <v/>
      </c>
    </row>
    <row r="12" ht="27" customHeight="1" s="53">
      <c r="A12" s="54" t="n"/>
      <c r="B12" s="55" t="n"/>
      <c r="C12" s="55" t="n"/>
      <c r="D12" s="50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5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6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24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41">
        <f>_xlfn.MAXIFS('Dev 조치사항'!$K$6:$K$1004, 'Dev 조치사항'!$D$6:$D$1004, D12)</f>
        <v/>
      </c>
    </row>
    <row r="13" ht="27" customHeight="1" s="53">
      <c r="A13" s="54" t="n"/>
      <c r="B13" s="50" t="inlineStr">
        <is>
          <t>목록(위치), 목록(종류)</t>
        </is>
      </c>
      <c r="C13" s="50" t="inlineStr">
        <is>
          <t>검색</t>
        </is>
      </c>
      <c r="D13" s="50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5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6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24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41">
        <f>_xlfn.MAXIFS('Dev 조치사항'!$K$6:$K$1004, 'Dev 조치사항'!$D$6:$D$1004, D13)</f>
        <v/>
      </c>
    </row>
    <row r="14" ht="27" customHeight="1" s="53">
      <c r="A14" s="54" t="n"/>
      <c r="B14" s="50" t="inlineStr">
        <is>
          <t>목록(위치), 목록(종류), 목록(조건)</t>
        </is>
      </c>
      <c r="C14" s="50" t="inlineStr">
        <is>
          <t>조회</t>
        </is>
      </c>
      <c r="D14" s="50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5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6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24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41">
        <f>_xlfn.MAXIFS('Dev 조치사항'!$K$6:$K$1004, 'Dev 조치사항'!$D$6:$D$1004, D14)</f>
        <v/>
      </c>
    </row>
    <row r="15" ht="27" customHeight="1" s="53">
      <c r="A15" s="54" t="n"/>
      <c r="B15" s="54" t="n"/>
      <c r="C15" s="50" t="inlineStr">
        <is>
          <t>조회</t>
        </is>
      </c>
      <c r="D15" s="50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5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6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24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41">
        <f>_xlfn.MAXIFS('Dev 조치사항'!$K$6:$K$1004, 'Dev 조치사항'!$D$6:$D$1004, D15)</f>
        <v/>
      </c>
    </row>
    <row r="16">
      <c r="A16" s="54" t="n"/>
      <c r="B16" s="54" t="n"/>
      <c r="C16" s="54" t="n"/>
      <c r="D16" s="50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5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6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24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41">
        <f>_xlfn.MAXIFS('Dev 조치사항'!$K$6:$K$1004, 'Dev 조치사항'!$D$6:$D$1004, D16)</f>
        <v/>
      </c>
    </row>
    <row r="17">
      <c r="A17" s="54" t="n"/>
      <c r="B17" s="54" t="n"/>
      <c r="C17" s="54" t="n"/>
      <c r="D17" s="50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5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6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24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41">
        <f>_xlfn.MAXIFS('Dev 조치사항'!$K$6:$K$1004, 'Dev 조치사항'!$D$6:$D$1004, D17)</f>
        <v/>
      </c>
    </row>
    <row r="18" ht="54" customHeight="1" s="53">
      <c r="A18" s="54" t="n"/>
      <c r="B18" s="54" t="n"/>
      <c r="C18" s="54" t="n"/>
      <c r="D18" s="50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5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6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24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41">
        <f>_xlfn.MAXIFS('Dev 조치사항'!$K$6:$K$1004, 'Dev 조치사항'!$D$6:$D$1004, D18)</f>
        <v/>
      </c>
    </row>
    <row r="19" ht="40.5" customHeight="1" s="53">
      <c r="A19" s="54" t="n"/>
      <c r="B19" s="54" t="n"/>
      <c r="C19" s="54" t="n"/>
      <c r="D19" s="50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5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6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24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41">
        <f>_xlfn.MAXIFS('Dev 조치사항'!$K$6:$K$1004, 'Dev 조치사항'!$D$6:$D$1004, D19)</f>
        <v/>
      </c>
    </row>
    <row r="20" ht="27" customHeight="1" s="53">
      <c r="A20" s="54" t="n"/>
      <c r="B20" s="54" t="n"/>
      <c r="C20" s="54" t="n"/>
      <c r="D20" s="50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5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6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24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41">
        <f>_xlfn.MAXIFS('Dev 조치사항'!$K$6:$K$1004, 'Dev 조치사항'!$D$6:$D$1004, D20)</f>
        <v/>
      </c>
    </row>
    <row r="21" ht="27" customHeight="1" s="53">
      <c r="A21" s="54" t="n"/>
      <c r="B21" s="54" t="n"/>
      <c r="C21" s="55" t="n"/>
      <c r="D21" s="50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5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6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24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41">
        <f>_xlfn.MAXIFS('Dev 조치사항'!$K$6:$K$1004, 'Dev 조치사항'!$D$6:$D$1004, D21)</f>
        <v/>
      </c>
    </row>
    <row r="22" ht="66" customHeight="1" s="53">
      <c r="A22" s="54" t="n"/>
      <c r="B22" s="54" t="n"/>
      <c r="C22" s="50" t="inlineStr">
        <is>
          <t>닫기</t>
        </is>
      </c>
      <c r="D22" s="50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5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6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24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41">
        <f>_xlfn.MAXIFS('Dev 조치사항'!$K$6:$K$1004, 'Dev 조치사항'!$D$6:$D$1004, D22)</f>
        <v/>
      </c>
    </row>
    <row r="23" ht="27" customHeight="1" s="53">
      <c r="A23" s="54" t="n"/>
      <c r="B23" s="54" t="n"/>
      <c r="C23" s="50" t="inlineStr">
        <is>
          <t>생성</t>
        </is>
      </c>
      <c r="D23" s="50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5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6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24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41">
        <f>_xlfn.MAXIFS('Dev 조치사항'!$K$6:$K$1004, 'Dev 조치사항'!$D$6:$D$1004, D23)</f>
        <v/>
      </c>
    </row>
    <row r="24" ht="54" customHeight="1" s="53">
      <c r="A24" s="54" t="n"/>
      <c r="B24" s="54" t="n"/>
      <c r="C24" s="54" t="n"/>
      <c r="D24" s="50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5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6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24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41">
        <f>_xlfn.MAXIFS('Dev 조치사항'!$K$6:$K$1004, 'Dev 조치사항'!$D$6:$D$1004, D24)</f>
        <v/>
      </c>
    </row>
    <row r="25" ht="27" customHeight="1" s="53">
      <c r="A25" s="54" t="n"/>
      <c r="B25" s="54" t="n"/>
      <c r="C25" s="55" t="n"/>
      <c r="D25" s="50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5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6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24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41">
        <f>_xlfn.MAXIFS('Dev 조치사항'!$K$6:$K$1004, 'Dev 조치사항'!$D$6:$D$1004, D25)</f>
        <v/>
      </c>
    </row>
    <row r="26" ht="27" customHeight="1" s="53">
      <c r="A26" s="54" t="n"/>
      <c r="B26" s="54" t="n"/>
      <c r="C26" s="50" t="inlineStr">
        <is>
          <t>수정</t>
        </is>
      </c>
      <c r="D26" s="50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5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6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24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41">
        <f>_xlfn.MAXIFS('Dev 조치사항'!$K$6:$K$1004, 'Dev 조치사항'!$D$6:$D$1004, D26)</f>
        <v/>
      </c>
    </row>
    <row r="27" ht="27" customHeight="1" s="53">
      <c r="A27" s="54" t="n"/>
      <c r="B27" s="54" t="n"/>
      <c r="C27" s="55" t="n"/>
      <c r="D27" s="50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5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6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24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41">
        <f>_xlfn.MAXIFS('Dev 조치사항'!$K$6:$K$1004, 'Dev 조치사항'!$D$6:$D$1004, D27)</f>
        <v/>
      </c>
    </row>
    <row r="28" ht="27" customHeight="1" s="53">
      <c r="A28" s="54" t="n"/>
      <c r="B28" s="54" t="n"/>
      <c r="C28" s="50" t="inlineStr">
        <is>
          <t>삭제</t>
        </is>
      </c>
      <c r="D28" s="50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5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6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24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41">
        <f>_xlfn.MAXIFS('Dev 조치사항'!$K$6:$K$1004, 'Dev 조치사항'!$D$6:$D$1004, D28)</f>
        <v/>
      </c>
    </row>
    <row r="29" ht="27" customHeight="1" s="53">
      <c r="A29" s="54" t="n"/>
      <c r="B29" s="54" t="n"/>
      <c r="C29" s="55" t="n"/>
      <c r="D29" s="50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5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6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24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41">
        <f>_xlfn.MAXIFS('Dev 조치사항'!$K$6:$K$1004, 'Dev 조치사항'!$D$6:$D$1004, D29)</f>
        <v/>
      </c>
    </row>
    <row r="30" ht="27" customHeight="1" s="53">
      <c r="A30" s="54" t="n"/>
      <c r="B30" s="54" t="n"/>
      <c r="C30" s="50" t="inlineStr">
        <is>
          <t>Excel</t>
        </is>
      </c>
      <c r="D30" s="50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5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6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24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41">
        <f>_xlfn.MAXIFS('Dev 조치사항'!$K$6:$K$1004, 'Dev 조치사항'!$D$6:$D$1004, D30)</f>
        <v/>
      </c>
    </row>
    <row r="31" ht="27" customHeight="1" s="53">
      <c r="A31" s="54" t="n"/>
      <c r="B31" s="54" t="n"/>
      <c r="C31" s="50" t="inlineStr">
        <is>
          <t>Setting</t>
        </is>
      </c>
      <c r="D31" s="50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5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6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24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41">
        <f>_xlfn.MAXIFS('Dev 조치사항'!$K$6:$K$1004, 'Dev 조치사항'!$D$6:$D$1004, D31)</f>
        <v/>
      </c>
    </row>
    <row r="32" ht="27" customHeight="1" s="53">
      <c r="A32" s="54" t="n"/>
      <c r="B32" s="54" t="n"/>
      <c r="C32" s="50" t="inlineStr">
        <is>
          <t>일정생성</t>
        </is>
      </c>
      <c r="D32" s="50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5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6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24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41">
        <f>_xlfn.MAXIFS('Dev 조치사항'!$K$6:$K$1004, 'Dev 조치사항'!$D$6:$D$1004, D32)</f>
        <v/>
      </c>
    </row>
    <row r="33" ht="27" customHeight="1" s="53">
      <c r="A33" s="54" t="n"/>
      <c r="B33" s="54" t="n"/>
      <c r="C33" s="55" t="n"/>
      <c r="D33" s="50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5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6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24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41">
        <f>_xlfn.MAXIFS('Dev 조치사항'!$K$6:$K$1004, 'Dev 조치사항'!$D$6:$D$1004, D33)</f>
        <v/>
      </c>
    </row>
    <row r="34" ht="27" customHeight="1" s="53">
      <c r="A34" s="54" t="n"/>
      <c r="B34" s="54" t="n"/>
      <c r="C34" s="50" t="inlineStr">
        <is>
          <t>Linked</t>
        </is>
      </c>
      <c r="D34" s="50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5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6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24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41">
        <f>_xlfn.MAXIFS('Dev 조치사항'!$K$6:$K$1004, 'Dev 조치사항'!$D$6:$D$1004, D34)</f>
        <v/>
      </c>
    </row>
    <row r="35" ht="27" customHeight="1" s="53">
      <c r="A35" s="54" t="n"/>
      <c r="B35" s="55" t="n"/>
      <c r="C35" s="55" t="n"/>
      <c r="D35" s="50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5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6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24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41">
        <f>_xlfn.MAXIFS('Dev 조치사항'!$K$6:$K$1004, 'Dev 조치사항'!$D$6:$D$1004, D35)</f>
        <v/>
      </c>
    </row>
    <row r="36" ht="27" customHeight="1" s="53">
      <c r="A36" s="54" t="n"/>
      <c r="B36" s="50" t="inlineStr">
        <is>
          <t>설비</t>
        </is>
      </c>
      <c r="C36" s="50" t="inlineStr">
        <is>
          <t>탭조회</t>
        </is>
      </c>
      <c r="D36" s="50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5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6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24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41">
        <f>_xlfn.MAXIFS('Dev 조치사항'!$K$6:$K$1004, 'Dev 조치사항'!$D$6:$D$1004, D36)</f>
        <v/>
      </c>
    </row>
    <row r="37" ht="27" customHeight="1" s="53">
      <c r="A37" s="54" t="n"/>
      <c r="B37" s="54" t="n"/>
      <c r="C37" s="50" t="inlineStr">
        <is>
          <t>탭생성</t>
        </is>
      </c>
      <c r="D37" s="50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5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6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24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41">
        <f>_xlfn.MAXIFS('Dev 조치사항'!$K$6:$K$1004, 'Dev 조치사항'!$D$6:$D$1004, D37)</f>
        <v/>
      </c>
    </row>
    <row r="38" ht="27" customHeight="1" s="53">
      <c r="A38" s="54" t="n"/>
      <c r="B38" s="54" t="n"/>
      <c r="C38" s="55" t="n"/>
      <c r="D38" s="50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5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6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24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41">
        <f>_xlfn.MAXIFS('Dev 조치사항'!$K$6:$K$1004, 'Dev 조치사항'!$D$6:$D$1004, D38)</f>
        <v/>
      </c>
    </row>
    <row r="39" ht="27" customHeight="1" s="53">
      <c r="A39" s="54" t="n"/>
      <c r="B39" s="54" t="n"/>
      <c r="C39" s="50" t="inlineStr">
        <is>
          <t>탭수정</t>
        </is>
      </c>
      <c r="D39" s="50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5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6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24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41">
        <f>_xlfn.MAXIFS('Dev 조치사항'!$K$6:$K$1004, 'Dev 조치사항'!$D$6:$D$1004, D39)</f>
        <v/>
      </c>
    </row>
    <row r="40" ht="27" customHeight="1" s="53">
      <c r="A40" s="54" t="n"/>
      <c r="B40" s="54" t="n"/>
      <c r="C40" s="50" t="inlineStr">
        <is>
          <t>탭삭제</t>
        </is>
      </c>
      <c r="D40" s="50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5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6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24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41">
        <f>_xlfn.MAXIFS('Dev 조치사항'!$K$6:$K$1004, 'Dev 조치사항'!$D$6:$D$1004, D40)</f>
        <v/>
      </c>
    </row>
    <row r="41">
      <c r="A41" s="54" t="n"/>
      <c r="B41" s="55" t="n"/>
      <c r="C41" s="50" t="inlineStr">
        <is>
          <t>탭Excel</t>
        </is>
      </c>
      <c r="D41" s="50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5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6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24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41">
        <f>_xlfn.MAXIFS('Dev 조치사항'!$K$6:$K$1004, 'Dev 조치사항'!$D$6:$D$1004, D41)</f>
        <v/>
      </c>
    </row>
    <row r="42" ht="27" customHeight="1" s="53">
      <c r="A42" s="54" t="n"/>
      <c r="B42" s="50" t="inlineStr">
        <is>
          <t>표준작업</t>
        </is>
      </c>
      <c r="C42" s="50" t="inlineStr">
        <is>
          <t>탭생성/삭제</t>
        </is>
      </c>
      <c r="D42" s="50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5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6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24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41">
        <f>_xlfn.MAXIFS('Dev 조치사항'!$K$6:$K$1004, 'Dev 조치사항'!$D$6:$D$1004, D42)</f>
        <v/>
      </c>
    </row>
    <row r="43">
      <c r="A43" s="54" t="n"/>
      <c r="B43" s="50" t="inlineStr">
        <is>
          <t>점검</t>
        </is>
      </c>
      <c r="C43" s="50" t="inlineStr">
        <is>
          <t>탭생성</t>
        </is>
      </c>
      <c r="D43" s="50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5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6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24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41">
        <f>_xlfn.MAXIFS('Dev 조치사항'!$K$6:$K$1004, 'Dev 조치사항'!$D$6:$D$1004, D43)</f>
        <v/>
      </c>
    </row>
    <row r="44" ht="27" customHeight="1" s="53">
      <c r="A44" s="54" t="n"/>
      <c r="B44" s="54" t="n"/>
      <c r="C44" s="50" t="inlineStr">
        <is>
          <t>표준항목선택</t>
        </is>
      </c>
      <c r="D44" s="50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5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6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24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41">
        <f>_xlfn.MAXIFS('Dev 조치사항'!$K$6:$K$1004, 'Dev 조치사항'!$D$6:$D$1004, D44)</f>
        <v/>
      </c>
    </row>
    <row r="45" ht="27" customHeight="1" s="53">
      <c r="A45" s="54" t="n"/>
      <c r="B45" s="54" t="n"/>
      <c r="C45" s="50" t="inlineStr">
        <is>
          <t>탭수정</t>
        </is>
      </c>
      <c r="D45" s="50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5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6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24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41">
        <f>_xlfn.MAXIFS('Dev 조치사항'!$K$6:$K$1004, 'Dev 조치사항'!$D$6:$D$1004, D45)</f>
        <v/>
      </c>
    </row>
    <row r="46" ht="27" customHeight="1" s="53">
      <c r="A46" s="54" t="n"/>
      <c r="B46" s="55" t="n"/>
      <c r="C46" s="50" t="inlineStr">
        <is>
          <t>탭삭제</t>
        </is>
      </c>
      <c r="D46" s="50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5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6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24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41">
        <f>_xlfn.MAXIFS('Dev 조치사항'!$K$6:$K$1004, 'Dev 조치사항'!$D$6:$D$1004, D46)</f>
        <v/>
      </c>
    </row>
    <row r="47" ht="27" customHeight="1" s="53">
      <c r="A47" s="55" t="n"/>
      <c r="B47" s="50" t="inlineStr">
        <is>
          <t>첨부문서</t>
        </is>
      </c>
      <c r="C47" s="50" t="inlineStr">
        <is>
          <t>탭생성/삭제</t>
        </is>
      </c>
      <c r="D47" s="50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5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6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24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41">
        <f>_xlfn.MAXIFS('Dev 조치사항'!$K$6:$K$1004, 'Dev 조치사항'!$D$6:$D$1004, D47)</f>
        <v/>
      </c>
    </row>
    <row r="50" ht="54" customHeight="1" s="53">
      <c r="A50" t="inlineStr">
        <is>
          <t>엣지케이스</t>
        </is>
      </c>
    </row>
    <row r="51" ht="40.5" customHeight="1" s="53">
      <c r="A51" s="29" t="inlineStr">
        <is>
          <t>메뉴명</t>
        </is>
      </c>
      <c r="B51" s="30" t="inlineStr">
        <is>
          <t>탭 명</t>
        </is>
      </c>
      <c r="C51" s="29" t="inlineStr">
        <is>
          <t>기능</t>
        </is>
      </c>
      <c r="D51" s="29" t="inlineStr">
        <is>
          <t>테스트ID</t>
        </is>
      </c>
      <c r="E51" s="29" t="inlineStr">
        <is>
          <t>CASE</t>
        </is>
      </c>
      <c r="F51" s="29" t="inlineStr">
        <is>
          <t>STEP</t>
        </is>
      </c>
      <c r="G51" s="29" t="inlineStr">
        <is>
          <t>테스트 예상 결과</t>
        </is>
      </c>
      <c r="H51" s="31" t="inlineStr">
        <is>
          <t>QA</t>
        </is>
      </c>
      <c r="I51" s="31" t="inlineStr">
        <is>
          <t>QA결과 
(정상/오류)</t>
        </is>
      </c>
      <c r="J51" s="31" t="inlineStr">
        <is>
          <t>QA내용</t>
        </is>
      </c>
      <c r="K51" s="17" t="inlineStr">
        <is>
          <t>QA날짜</t>
        </is>
      </c>
    </row>
    <row r="52" ht="27" customHeight="1" s="53">
      <c r="A52" s="50" t="inlineStr">
        <is>
          <t>정기점검주기_AD230</t>
        </is>
      </c>
      <c r="B52" s="50" t="inlineStr">
        <is>
          <t>설비, 점검</t>
        </is>
      </c>
      <c r="C52" s="50" t="inlineStr">
        <is>
          <t>일정생성</t>
        </is>
      </c>
      <c r="D52" s="50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5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6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24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41">
        <f>_xlfn.MAXIFS('Dev 조치사항'!$K$6:$K$1004, 'Dev 조치사항'!$D$6:$D$1004, D52)</f>
        <v/>
      </c>
    </row>
    <row r="53" ht="27" customHeight="1" s="53">
      <c r="A53" s="54" t="n"/>
      <c r="B53" s="54" t="n"/>
      <c r="C53" s="50" t="inlineStr">
        <is>
          <t>일정생성</t>
        </is>
      </c>
      <c r="D53" s="50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5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6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24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41">
        <f>_xlfn.MAXIFS('Dev 조치사항'!$K$6:$K$1004, 'Dev 조치사항'!$D$6:$D$1004, D53)</f>
        <v/>
      </c>
    </row>
    <row r="54" ht="27" customHeight="1" s="53">
      <c r="A54" s="54" t="n"/>
      <c r="B54" s="54" t="n"/>
      <c r="C54" s="54" t="n"/>
      <c r="D54" s="50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5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6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24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41">
        <f>_xlfn.MAXIFS('Dev 조치사항'!$K$6:$K$1004, 'Dev 조치사항'!$D$6:$D$1004, D54)</f>
        <v/>
      </c>
    </row>
    <row r="55" ht="27" customHeight="1" s="53">
      <c r="A55" s="54" t="n"/>
      <c r="B55" s="54" t="n"/>
      <c r="C55" s="54" t="n"/>
      <c r="D55" s="50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5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6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24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41">
        <f>_xlfn.MAXIFS('Dev 조치사항'!$K$6:$K$1004, 'Dev 조치사항'!$D$6:$D$1004, D55)</f>
        <v/>
      </c>
    </row>
    <row r="56" ht="17.45" customHeight="1" s="53">
      <c r="A56" s="54" t="n"/>
      <c r="B56" s="55" t="n"/>
      <c r="C56" s="55" t="n"/>
      <c r="D56" s="50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5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6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24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41">
        <f>_xlfn.MAXIFS('Dev 조치사항'!$K$6:$K$1004, 'Dev 조치사항'!$D$6:$D$1004, D56)</f>
        <v/>
      </c>
    </row>
    <row r="57" ht="27" customHeight="1" s="53">
      <c r="A57" s="54" t="n"/>
      <c r="B57" s="50" t="inlineStr">
        <is>
          <t>설비</t>
        </is>
      </c>
      <c r="C57" s="50" t="inlineStr">
        <is>
          <t>일정생성</t>
        </is>
      </c>
      <c r="D57" s="50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5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6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24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41">
        <f>_xlfn.MAXIFS('Dev 조치사항'!$K$6:$K$1004, 'Dev 조치사항'!$D$6:$D$1004, D57)</f>
        <v/>
      </c>
    </row>
    <row r="58" ht="27" customHeight="1" s="53">
      <c r="A58" s="54" t="n"/>
      <c r="B58" s="54" t="n"/>
      <c r="C58" s="50" t="inlineStr">
        <is>
          <t>일정생성</t>
        </is>
      </c>
      <c r="D58" s="50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5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6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24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41">
        <f>_xlfn.MAXIFS('Dev 조치사항'!$K$6:$K$1004, 'Dev 조치사항'!$D$6:$D$1004, D58)</f>
        <v/>
      </c>
    </row>
    <row r="59" ht="27" customHeight="1" s="53">
      <c r="A59" s="54" t="n"/>
      <c r="B59" s="54" t="n"/>
      <c r="C59" s="54" t="n"/>
      <c r="D59" s="50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5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6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24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41">
        <f>_xlfn.MAXIFS('Dev 조치사항'!$K$6:$K$1004, 'Dev 조치사항'!$D$6:$D$1004, D59)</f>
        <v/>
      </c>
    </row>
    <row r="60" ht="27" customHeight="1" s="53">
      <c r="A60" s="54" t="n"/>
      <c r="B60" s="54" t="n"/>
      <c r="C60" s="54" t="n"/>
      <c r="D60" s="50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5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6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24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41">
        <f>_xlfn.MAXIFS('Dev 조치사항'!$K$6:$K$1004, 'Dev 조치사항'!$D$6:$D$1004, D60)</f>
        <v/>
      </c>
    </row>
    <row r="61" ht="27" customHeight="1" s="53">
      <c r="A61" s="54" t="n"/>
      <c r="B61" s="55" t="n"/>
      <c r="C61" s="55" t="n"/>
      <c r="D61" s="50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5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6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24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41">
        <f>_xlfn.MAXIFS('Dev 조치사항'!$K$6:$K$1004, 'Dev 조치사항'!$D$6:$D$1004, D61)</f>
        <v/>
      </c>
    </row>
    <row r="62" ht="27" customHeight="1" s="53">
      <c r="A62" s="54" t="n"/>
      <c r="B62" s="50" t="inlineStr">
        <is>
          <t>공통</t>
        </is>
      </c>
      <c r="C62" s="50" t="inlineStr">
        <is>
          <t>입력검증</t>
        </is>
      </c>
      <c r="D62" s="50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5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6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24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41">
        <f>_xlfn.MAXIFS('Dev 조치사항'!$K$6:$K$1004, 'Dev 조치사항'!$D$6:$D$1004, D62)</f>
        <v/>
      </c>
    </row>
    <row r="63" ht="27" customHeight="1" s="53">
      <c r="A63" s="54" t="n"/>
      <c r="B63" s="54" t="n"/>
      <c r="C63" s="50" t="inlineStr">
        <is>
          <t>입력검증</t>
        </is>
      </c>
      <c r="D63" s="50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5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6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24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41">
        <f>_xlfn.MAXIFS('Dev 조치사항'!$K$6:$K$1004, 'Dev 조치사항'!$D$6:$D$1004, D63)</f>
        <v/>
      </c>
    </row>
    <row r="64" ht="27" customHeight="1" s="53">
      <c r="A64" s="54" t="n"/>
      <c r="B64" s="55" t="n"/>
      <c r="C64" s="55" t="n"/>
      <c r="D64" s="50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5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6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24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41">
        <f>_xlfn.MAXIFS('Dev 조치사항'!$K$6:$K$1004, 'Dev 조치사항'!$D$6:$D$1004, D64)</f>
        <v/>
      </c>
    </row>
    <row r="65" ht="27" customHeight="1" s="53">
      <c r="A65" s="54" t="n"/>
      <c r="B65" s="50" t="inlineStr">
        <is>
          <t>설비</t>
        </is>
      </c>
      <c r="C65" s="50" t="inlineStr">
        <is>
          <t>입력검증</t>
        </is>
      </c>
      <c r="D65" s="50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5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6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24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41">
        <f>_xlfn.MAXIFS('Dev 조치사항'!$K$6:$K$1004, 'Dev 조치사항'!$D$6:$D$1004, D65)</f>
        <v/>
      </c>
    </row>
    <row r="66" ht="27" customHeight="1" s="53">
      <c r="A66" s="54" t="n"/>
      <c r="B66" s="50" t="inlineStr">
        <is>
          <t>공통</t>
        </is>
      </c>
      <c r="C66" s="50" t="inlineStr">
        <is>
          <t>일정생성</t>
        </is>
      </c>
      <c r="D66" s="50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이미 생성된 계획과 새 계획의 처리 방식이 업무 규칙과 맞음 (확인 필요)</t>
        </is>
      </c>
      <c r="H66" s="15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6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24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41">
        <f>_xlfn.MAXIFS('Dev 조치사항'!$K$6:$K$1004, 'Dev 조치사항'!$D$6:$D$1004, D66)</f>
        <v/>
      </c>
    </row>
    <row r="67" ht="27" customHeight="1" s="53">
      <c r="A67" s="55" t="n"/>
      <c r="B67" s="55" t="n"/>
      <c r="C67" s="50" t="inlineStr">
        <is>
          <t>삭제</t>
        </is>
      </c>
      <c r="D67" s="50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삭제가 막히거나, 계획까지 함께 정리됨 (확인 필요)</t>
        </is>
      </c>
      <c r="H67" s="15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6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24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41">
        <f>_xlfn.MAXIFS('Dev 조치사항'!$K$6:$K$1004, 'Dev 조치사항'!$D$6:$D$1004, D67)</f>
        <v/>
      </c>
    </row>
    <row r="68" ht="27" customHeight="1" s="53"/>
    <row r="73" ht="49.5" customHeight="1" s="53"/>
    <row r="78" ht="27" customHeight="1" s="53"/>
    <row r="79" ht="108" customHeight="1" s="53"/>
    <row r="80" ht="108" customHeight="1" s="53"/>
    <row r="81" ht="108" customHeight="1" s="53"/>
    <row r="82" ht="108" customHeight="1" s="53"/>
  </sheetData>
  <mergeCells count="22">
    <mergeCell ref="A6:A47"/>
    <mergeCell ref="C58:C61"/>
    <mergeCell ref="C63:C64"/>
    <mergeCell ref="C23:C25"/>
    <mergeCell ref="B14:B3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Q67"/>
  <sheetViews>
    <sheetView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A2" sqref="A2:P2"/>
    </sheetView>
  </sheetViews>
  <sheetFormatPr baseColWidth="8" defaultColWidth="18.25" defaultRowHeight="16.5"/>
  <cols>
    <col width="15.375" bestFit="1" customWidth="1" style="28" min="1" max="1"/>
    <col width="15.375" customWidth="1" style="28" min="2" max="2"/>
    <col width="9.25" customWidth="1" style="26" min="3" max="3"/>
    <col width="14.5" bestFit="1" customWidth="1" style="26" min="4" max="4"/>
    <col width="60.25" bestFit="1" customWidth="1" style="9" min="5" max="5"/>
    <col width="52.625" customWidth="1" style="9" min="6" max="6"/>
    <col width="54.5" customWidth="1" style="9" min="7" max="7"/>
    <col width="7" bestFit="1" customWidth="1" style="10" min="8" max="8"/>
    <col width="10.75" bestFit="1" customWidth="1" style="22" min="9" max="9"/>
    <col width="32.625" customWidth="1" style="9" min="10" max="10"/>
    <col width="18.25" customWidth="1" style="9" min="11" max="11"/>
    <col width="8.75" bestFit="1" customWidth="1" style="9" min="12" max="12"/>
    <col width="18.25" customWidth="1" style="9" min="13" max="16384"/>
    <col width="40" customWidth="1" style="53" min="17" max="17"/>
  </cols>
  <sheetData>
    <row r="2" ht="31.5" customHeight="1" s="53">
      <c r="A2" s="51">
        <f>"Dream 4.1 "&amp;CLEAN(A6)&amp;" 단위테스트 실행 로그"</f>
        <v/>
      </c>
    </row>
    <row r="4">
      <c r="A4" s="37" t="inlineStr">
        <is>
          <t>공통</t>
        </is>
      </c>
      <c r="B4" s="38" t="n"/>
      <c r="C4" s="9" t="n"/>
      <c r="D4" s="10" t="n"/>
    </row>
    <row r="5" ht="27" customHeight="1" s="53">
      <c r="A5" s="29" t="inlineStr">
        <is>
          <t>메뉴명</t>
        </is>
      </c>
      <c r="B5" s="30" t="inlineStr">
        <is>
          <t>탭 명</t>
        </is>
      </c>
      <c r="C5" s="29" t="inlineStr">
        <is>
          <t>기능</t>
        </is>
      </c>
      <c r="D5" s="29" t="inlineStr">
        <is>
          <t>테스트ID</t>
        </is>
      </c>
      <c r="E5" s="29" t="inlineStr">
        <is>
          <t>CASE</t>
        </is>
      </c>
      <c r="F5" s="29" t="inlineStr">
        <is>
          <t>STEP</t>
        </is>
      </c>
      <c r="G5" s="29" t="inlineStr">
        <is>
          <t>테스트 예상 결과</t>
        </is>
      </c>
      <c r="H5" s="31" t="inlineStr">
        <is>
          <t>QA</t>
        </is>
      </c>
      <c r="I5" s="31" t="inlineStr">
        <is>
          <t>QA결과 
(정상/오류)</t>
        </is>
      </c>
      <c r="J5" s="31" t="inlineStr">
        <is>
          <t>QA내용</t>
        </is>
      </c>
      <c r="K5" s="32" t="inlineStr">
        <is>
          <t>QA날짜</t>
        </is>
      </c>
      <c r="L5" s="32" t="inlineStr">
        <is>
          <t>첨부파일</t>
        </is>
      </c>
      <c r="M5" s="33" t="inlineStr">
        <is>
          <t>Dev</t>
        </is>
      </c>
      <c r="N5" s="33" t="inlineStr">
        <is>
          <t>조치결과
(완료/불가/보류)</t>
        </is>
      </c>
      <c r="O5" s="34" t="inlineStr">
        <is>
          <t>조치내용</t>
        </is>
      </c>
      <c r="P5" s="35" t="inlineStr">
        <is>
          <t>조치날짜</t>
        </is>
      </c>
      <c r="Q5" s="35" t="inlineStr">
        <is>
          <t>테스트 데이터 / 증적</t>
        </is>
      </c>
    </row>
    <row r="6" ht="13.5" customHeight="1" s="53">
      <c r="A6" s="50" t="inlineStr">
        <is>
          <t>정기점검주기_AD230</t>
        </is>
      </c>
      <c r="B6" s="50" t="inlineStr">
        <is>
          <t>목록(조건)</t>
        </is>
      </c>
      <c r="C6" s="50" t="inlineStr">
        <is>
          <t>검색</t>
        </is>
      </c>
      <c r="D6" s="50" t="inlineStr">
        <is>
          <t>AD230_TC_001</t>
        </is>
      </c>
      <c r="E6" s="18">
        <f>IFERROR(VLOOKUP($D6, '테스트 케이스'!$D$6:$G$1001, 2, FALSE), "")</f>
        <v/>
      </c>
      <c r="F6" s="18">
        <f>IFERROR(VLOOKUP($D6, '테스트 케이스'!$D$6:$G$1001, 3, FALSE), "")</f>
        <v/>
      </c>
      <c r="G6" s="18">
        <f>IFERROR(VLOOKUP($D6, '테스트 케이스'!$D$6:$G$1001, 4, FALSE), "")</f>
        <v/>
      </c>
      <c r="H6" s="7" t="n"/>
      <c r="I6" s="23" t="n"/>
      <c r="J6" s="8" t="n"/>
      <c r="K6" s="36" t="n"/>
      <c r="L6" s="7" t="n"/>
      <c r="M6" s="8" t="n"/>
      <c r="N6" s="8" t="n"/>
      <c r="O6" s="8" t="n"/>
      <c r="P6" s="8" t="n"/>
    </row>
    <row r="7" ht="13.5" customHeight="1" s="53">
      <c r="A7" s="54" t="n"/>
      <c r="B7" s="54" t="n"/>
      <c r="C7" s="50" t="inlineStr">
        <is>
          <t>검색</t>
        </is>
      </c>
      <c r="D7" s="50" t="inlineStr">
        <is>
          <t>AD230_TC_002</t>
        </is>
      </c>
      <c r="E7" s="18">
        <f>IFERROR(VLOOKUP($D7, '테스트 케이스'!$D$6:$G$1001, 2, FALSE), "")</f>
        <v/>
      </c>
      <c r="F7" s="18">
        <f>IFERROR(VLOOKUP($D7, '테스트 케이스'!$D$6:$G$1001, 3, FALSE), "")</f>
        <v/>
      </c>
      <c r="G7" s="18">
        <f>IFERROR(VLOOKUP($D7, '테스트 케이스'!$D$6:$G$1001, 4, FALSE), "")</f>
        <v/>
      </c>
      <c r="H7" s="7" t="n"/>
      <c r="I7" s="23" t="n"/>
      <c r="J7" s="8" t="n"/>
      <c r="K7" s="36" t="n"/>
      <c r="L7" s="7" t="n"/>
      <c r="M7" s="8" t="n"/>
      <c r="N7" s="8" t="n"/>
      <c r="O7" s="8" t="n"/>
      <c r="P7" s="8" t="n"/>
    </row>
    <row r="8" ht="13.5" customHeight="1" s="53">
      <c r="A8" s="54" t="n"/>
      <c r="B8" s="54" t="n"/>
      <c r="C8" s="54" t="n"/>
      <c r="D8" s="50" t="inlineStr">
        <is>
          <t>AD230_TC_003</t>
        </is>
      </c>
      <c r="E8" s="18">
        <f>IFERROR(VLOOKUP($D8, '테스트 케이스'!$D$6:$G$1001, 2, FALSE), "")</f>
        <v/>
      </c>
      <c r="F8" s="18">
        <f>IFERROR(VLOOKUP($D8, '테스트 케이스'!$D$6:$G$1001, 3, FALSE), "")</f>
        <v/>
      </c>
      <c r="G8" s="18">
        <f>IFERROR(VLOOKUP($D8, '테스트 케이스'!$D$6:$G$1001, 4, FALSE), "")</f>
        <v/>
      </c>
      <c r="H8" s="7" t="n"/>
      <c r="I8" s="23" t="n"/>
      <c r="J8" s="8" t="n"/>
      <c r="K8" s="36" t="n"/>
      <c r="L8" s="7" t="n"/>
      <c r="M8" s="8" t="n"/>
      <c r="N8" s="8" t="n"/>
      <c r="O8" s="8" t="n"/>
      <c r="P8" s="8" t="n"/>
    </row>
    <row r="9" ht="31.15" customHeight="1" s="53">
      <c r="A9" s="54" t="n"/>
      <c r="B9" s="54" t="n"/>
      <c r="C9" s="54" t="n"/>
      <c r="D9" s="50" t="inlineStr">
        <is>
          <t>AD230_TC_004</t>
        </is>
      </c>
      <c r="E9" s="18">
        <f>IFERROR(VLOOKUP($D9, '테스트 케이스'!$D$6:$G$1001, 2, FALSE), "")</f>
        <v/>
      </c>
      <c r="F9" s="18">
        <f>IFERROR(VLOOKUP($D9, '테스트 케이스'!$D$6:$G$1001, 3, FALSE), "")</f>
        <v/>
      </c>
      <c r="G9" s="18">
        <f>IFERROR(VLOOKUP($D9, '테스트 케이스'!$D$6:$G$1001, 4, FALSE), "")</f>
        <v/>
      </c>
      <c r="H9" s="7" t="n"/>
      <c r="I9" s="23" t="n"/>
      <c r="J9" s="8" t="n"/>
      <c r="K9" s="36" t="n"/>
      <c r="L9" s="7" t="n"/>
      <c r="M9" s="8" t="n"/>
      <c r="N9" s="8" t="n"/>
      <c r="O9" s="8" t="n"/>
      <c r="P9" s="8" t="n"/>
    </row>
    <row r="10" ht="31.15" customHeight="1" s="53">
      <c r="A10" s="54" t="n"/>
      <c r="B10" s="54" t="n"/>
      <c r="C10" s="54" t="n"/>
      <c r="D10" s="50" t="inlineStr">
        <is>
          <t>AD230_TC_005</t>
        </is>
      </c>
      <c r="E10" s="18">
        <f>IFERROR(VLOOKUP($D10, '테스트 케이스'!$D$6:$G$1001, 2, FALSE), "")</f>
        <v/>
      </c>
      <c r="F10" s="18">
        <f>IFERROR(VLOOKUP($D10, '테스트 케이스'!$D$6:$G$1001, 3, FALSE), "")</f>
        <v/>
      </c>
      <c r="G10" s="18">
        <f>IFERROR(VLOOKUP($D10, '테스트 케이스'!$D$6:$G$1001, 4, FALSE), "")</f>
        <v/>
      </c>
      <c r="H10" s="7" t="n"/>
      <c r="I10" s="23" t="n"/>
      <c r="J10" s="8" t="n"/>
      <c r="K10" s="36" t="n"/>
      <c r="L10" s="7" t="n"/>
      <c r="M10" s="8" t="n"/>
      <c r="N10" s="8" t="n"/>
      <c r="O10" s="8" t="n"/>
      <c r="P10" s="8" t="n"/>
    </row>
    <row r="11" ht="13.5" customHeight="1" s="53">
      <c r="A11" s="54" t="n"/>
      <c r="B11" s="54" t="n"/>
      <c r="C11" s="54" t="n"/>
      <c r="D11" s="50" t="inlineStr">
        <is>
          <t>AD230_TC_006</t>
        </is>
      </c>
      <c r="E11" s="18">
        <f>IFERROR(VLOOKUP($D11, '테스트 케이스'!$D$6:$G$1001, 2, FALSE), "")</f>
        <v/>
      </c>
      <c r="F11" s="18">
        <f>IFERROR(VLOOKUP($D11, '테스트 케이스'!$D$6:$G$1001, 3, FALSE), "")</f>
        <v/>
      </c>
      <c r="G11" s="18">
        <f>IFERROR(VLOOKUP($D11, '테스트 케이스'!$D$6:$G$1001, 4, FALSE), "")</f>
        <v/>
      </c>
      <c r="H11" s="7" t="n"/>
      <c r="I11" s="23" t="n"/>
      <c r="J11" s="8" t="n"/>
      <c r="K11" s="36" t="n"/>
      <c r="L11" s="7" t="n"/>
      <c r="M11" s="8" t="n"/>
      <c r="N11" s="8" t="n"/>
      <c r="O11" s="8" t="n"/>
      <c r="P11" s="8" t="n"/>
    </row>
    <row r="12" ht="31.15" customHeight="1" s="53">
      <c r="A12" s="54" t="n"/>
      <c r="B12" s="55" t="n"/>
      <c r="C12" s="55" t="n"/>
      <c r="D12" s="50" t="inlineStr">
        <is>
          <t>AD230_TC_007</t>
        </is>
      </c>
      <c r="E12" s="18">
        <f>IFERROR(VLOOKUP($D12, '테스트 케이스'!$D$6:$G$1001, 2, FALSE), "")</f>
        <v/>
      </c>
      <c r="F12" s="18">
        <f>IFERROR(VLOOKUP($D12, '테스트 케이스'!$D$6:$G$1001, 3, FALSE), "")</f>
        <v/>
      </c>
      <c r="G12" s="18">
        <f>IFERROR(VLOOKUP($D12, '테스트 케이스'!$D$6:$G$1001, 4, FALSE), "")</f>
        <v/>
      </c>
      <c r="H12" s="7" t="n"/>
      <c r="I12" s="23" t="n"/>
      <c r="J12" s="8" t="n"/>
      <c r="K12" s="36" t="n"/>
      <c r="L12" s="7" t="n"/>
      <c r="M12" s="8" t="n"/>
      <c r="N12" s="8" t="n"/>
      <c r="O12" s="8" t="n"/>
      <c r="P12" s="8" t="n"/>
    </row>
    <row r="13" ht="31.15" customHeight="1" s="53">
      <c r="A13" s="54" t="n"/>
      <c r="B13" s="50" t="inlineStr">
        <is>
          <t>목록(위치), 목록(종류)</t>
        </is>
      </c>
      <c r="C13" s="50" t="inlineStr">
        <is>
          <t>검색</t>
        </is>
      </c>
      <c r="D13" s="50" t="inlineStr">
        <is>
          <t>AD230_TC_008</t>
        </is>
      </c>
      <c r="E13" s="18">
        <f>IFERROR(VLOOKUP($D13, '테스트 케이스'!$D$6:$G$1001, 2, FALSE), "")</f>
        <v/>
      </c>
      <c r="F13" s="18">
        <f>IFERROR(VLOOKUP($D13, '테스트 케이스'!$D$6:$G$1001, 3, FALSE), "")</f>
        <v/>
      </c>
      <c r="G13" s="18">
        <f>IFERROR(VLOOKUP($D13, '테스트 케이스'!$D$6:$G$1001, 4, FALSE), "")</f>
        <v/>
      </c>
      <c r="H13" s="7" t="n"/>
      <c r="I13" s="23" t="n"/>
      <c r="J13" s="8" t="n"/>
      <c r="K13" s="36" t="n"/>
      <c r="L13" s="7" t="n"/>
      <c r="M13" s="8" t="n"/>
      <c r="N13" s="8" t="n"/>
      <c r="O13" s="8" t="n"/>
      <c r="P13" s="8" t="n"/>
    </row>
    <row r="14" ht="31.15" customHeight="1" s="53">
      <c r="A14" s="54" t="n"/>
      <c r="B14" s="50" t="inlineStr">
        <is>
          <t>목록(위치), 목록(종류), 목록(조건)</t>
        </is>
      </c>
      <c r="C14" s="50" t="inlineStr">
        <is>
          <t>조회</t>
        </is>
      </c>
      <c r="D14" s="50" t="inlineStr">
        <is>
          <t>AD230_TC_009</t>
        </is>
      </c>
      <c r="E14" s="18">
        <f>IFERROR(VLOOKUP($D14, '테스트 케이스'!$D$6:$G$1001, 2, FALSE), "")</f>
        <v/>
      </c>
      <c r="F14" s="18">
        <f>IFERROR(VLOOKUP($D14, '테스트 케이스'!$D$6:$G$1001, 3, FALSE), "")</f>
        <v/>
      </c>
      <c r="G14" s="18">
        <f>IFERROR(VLOOKUP($D14, '테스트 케이스'!$D$6:$G$1001, 4, FALSE), "")</f>
        <v/>
      </c>
      <c r="H14" s="7" t="n"/>
      <c r="I14" s="23" t="n"/>
      <c r="J14" s="8" t="n"/>
      <c r="K14" s="36" t="n"/>
      <c r="L14" s="7" t="n"/>
      <c r="M14" s="8" t="n"/>
      <c r="N14" s="8" t="n"/>
      <c r="O14" s="8" t="n"/>
      <c r="P14" s="8" t="n"/>
    </row>
    <row r="15" ht="31.15" customHeight="1" s="53">
      <c r="A15" s="54" t="n"/>
      <c r="B15" s="54" t="n"/>
      <c r="C15" s="50" t="inlineStr">
        <is>
          <t>조회</t>
        </is>
      </c>
      <c r="D15" s="50" t="inlineStr">
        <is>
          <t>AD230_TC_010</t>
        </is>
      </c>
      <c r="E15" s="18">
        <f>IFERROR(VLOOKUP($D15, '테스트 케이스'!$D$6:$G$1001, 2, FALSE), "")</f>
        <v/>
      </c>
      <c r="F15" s="18">
        <f>IFERROR(VLOOKUP($D15, '테스트 케이스'!$D$6:$G$1001, 3, FALSE), "")</f>
        <v/>
      </c>
      <c r="G15" s="18">
        <f>IFERROR(VLOOKUP($D15, '테스트 케이스'!$D$6:$G$1001, 4, FALSE), "")</f>
        <v/>
      </c>
      <c r="H15" s="7" t="n"/>
      <c r="I15" s="23" t="n"/>
      <c r="J15" s="8" t="n"/>
      <c r="K15" s="36" t="n"/>
      <c r="L15" s="7" t="n"/>
      <c r="M15" s="8" t="n"/>
      <c r="N15" s="8" t="n"/>
      <c r="O15" s="8" t="n"/>
      <c r="P15" s="8" t="n"/>
    </row>
    <row r="16" ht="13.5" customHeight="1" s="53">
      <c r="A16" s="54" t="n"/>
      <c r="B16" s="54" t="n"/>
      <c r="C16" s="54" t="n"/>
      <c r="D16" s="50" t="inlineStr">
        <is>
          <t>AD230_TC_011</t>
        </is>
      </c>
      <c r="E16" s="18">
        <f>IFERROR(VLOOKUP($D16, '테스트 케이스'!$D$6:$G$1001, 2, FALSE), "")</f>
        <v/>
      </c>
      <c r="F16" s="18">
        <f>IFERROR(VLOOKUP($D16, '테스트 케이스'!$D$6:$G$1001, 3, FALSE), "")</f>
        <v/>
      </c>
      <c r="G16" s="18">
        <f>IFERROR(VLOOKUP($D16, '테스트 케이스'!$D$6:$G$1001, 4, FALSE), "")</f>
        <v/>
      </c>
      <c r="H16" s="7" t="n"/>
      <c r="I16" s="23" t="n"/>
      <c r="J16" s="8" t="n"/>
      <c r="K16" s="36" t="n"/>
      <c r="L16" s="7" t="n"/>
      <c r="M16" s="8" t="n"/>
      <c r="N16" s="8" t="n"/>
      <c r="O16" s="8" t="n"/>
      <c r="P16" s="8" t="n"/>
    </row>
    <row r="17" ht="13.5" customHeight="1" s="53">
      <c r="A17" s="54" t="n"/>
      <c r="B17" s="54" t="n"/>
      <c r="C17" s="54" t="n"/>
      <c r="D17" s="50" t="inlineStr">
        <is>
          <t>AD230_TC_012</t>
        </is>
      </c>
      <c r="E17" s="18">
        <f>IFERROR(VLOOKUP($D17, '테스트 케이스'!$D$6:$G$1001, 2, FALSE), "")</f>
        <v/>
      </c>
      <c r="F17" s="18">
        <f>IFERROR(VLOOKUP($D17, '테스트 케이스'!$D$6:$G$1001, 3, FALSE), "")</f>
        <v/>
      </c>
      <c r="G17" s="18">
        <f>IFERROR(VLOOKUP($D17, '테스트 케이스'!$D$6:$G$1001, 4, FALSE), "")</f>
        <v/>
      </c>
      <c r="H17" s="7" t="n"/>
      <c r="I17" s="23" t="n"/>
      <c r="J17" s="8" t="n"/>
      <c r="K17" s="36" t="n"/>
      <c r="L17" s="7" t="n"/>
      <c r="M17" s="8" t="n"/>
      <c r="N17" s="8" t="n"/>
      <c r="O17" s="8" t="n"/>
      <c r="P17" s="8" t="n"/>
    </row>
    <row r="18" ht="54" customHeight="1" s="53">
      <c r="A18" s="54" t="n"/>
      <c r="B18" s="54" t="n"/>
      <c r="C18" s="54" t="n"/>
      <c r="D18" s="50" t="inlineStr">
        <is>
          <t>AD230_TC_013</t>
        </is>
      </c>
      <c r="E18" s="18">
        <f>IFERROR(VLOOKUP($D18, '테스트 케이스'!$D$6:$G$1001, 2, FALSE), "")</f>
        <v/>
      </c>
      <c r="F18" s="18">
        <f>IFERROR(VLOOKUP($D18, '테스트 케이스'!$D$6:$G$1001, 3, FALSE), "")</f>
        <v/>
      </c>
      <c r="G18" s="18">
        <f>IFERROR(VLOOKUP($D18, '테스트 케이스'!$D$6:$G$1001, 4, FALSE), "")</f>
        <v/>
      </c>
      <c r="H18" s="7" t="n"/>
      <c r="I18" s="23" t="n"/>
      <c r="J18" s="8" t="n"/>
      <c r="K18" s="36" t="n"/>
      <c r="L18" s="7" t="n"/>
      <c r="M18" s="8" t="n"/>
      <c r="N18" s="8" t="n"/>
      <c r="O18" s="8" t="n"/>
      <c r="P18" s="8" t="n"/>
    </row>
    <row r="19" ht="46.9" customHeight="1" s="53">
      <c r="A19" s="54" t="n"/>
      <c r="B19" s="54" t="n"/>
      <c r="C19" s="54" t="n"/>
      <c r="D19" s="50" t="inlineStr">
        <is>
          <t>AD230_TC_014</t>
        </is>
      </c>
      <c r="E19" s="18">
        <f>IFERROR(VLOOKUP($D19, '테스트 케이스'!$D$6:$G$1001, 2, FALSE), "")</f>
        <v/>
      </c>
      <c r="F19" s="18">
        <f>IFERROR(VLOOKUP($D19, '테스트 케이스'!$D$6:$G$1001, 3, FALSE), "")</f>
        <v/>
      </c>
      <c r="G19" s="18">
        <f>IFERROR(VLOOKUP($D19, '테스트 케이스'!$D$6:$G$1001, 4, FALSE), "")</f>
        <v/>
      </c>
      <c r="H19" s="7" t="n"/>
      <c r="I19" s="23" t="n"/>
      <c r="J19" s="8" t="n"/>
      <c r="K19" s="36" t="n"/>
      <c r="L19" s="7" t="n"/>
      <c r="M19" s="8" t="n"/>
      <c r="N19" s="8" t="n"/>
      <c r="O19" s="8" t="n"/>
      <c r="P19" s="8" t="n"/>
    </row>
    <row r="20" ht="31.15" customHeight="1" s="53">
      <c r="A20" s="54" t="n"/>
      <c r="B20" s="54" t="n"/>
      <c r="C20" s="54" t="n"/>
      <c r="D20" s="50" t="inlineStr">
        <is>
          <t>AD230_TC_015</t>
        </is>
      </c>
      <c r="E20" s="18">
        <f>IFERROR(VLOOKUP($D20, '테스트 케이스'!$D$6:$G$1001, 2, FALSE), "")</f>
        <v/>
      </c>
      <c r="F20" s="18">
        <f>IFERROR(VLOOKUP($D20, '테스트 케이스'!$D$6:$G$1001, 3, FALSE), "")</f>
        <v/>
      </c>
      <c r="G20" s="18">
        <f>IFERROR(VLOOKUP($D20, '테스트 케이스'!$D$6:$G$1001, 4, FALSE), "")</f>
        <v/>
      </c>
      <c r="H20" s="7" t="n"/>
      <c r="I20" s="23" t="n"/>
      <c r="J20" s="8" t="n"/>
      <c r="K20" s="36" t="n"/>
      <c r="L20" s="7" t="n"/>
      <c r="M20" s="8" t="n"/>
      <c r="N20" s="8" t="n"/>
      <c r="O20" s="8" t="n"/>
      <c r="P20" s="8" t="n"/>
    </row>
    <row r="21" ht="31.15" customHeight="1" s="53">
      <c r="A21" s="54" t="n"/>
      <c r="B21" s="54" t="n"/>
      <c r="C21" s="55" t="n"/>
      <c r="D21" s="50" t="inlineStr">
        <is>
          <t>AD230_TC_016</t>
        </is>
      </c>
      <c r="E21" s="18">
        <f>IFERROR(VLOOKUP($D21, '테스트 케이스'!$D$6:$G$1001, 2, FALSE), "")</f>
        <v/>
      </c>
      <c r="F21" s="18">
        <f>IFERROR(VLOOKUP($D21, '테스트 케이스'!$D$6:$G$1001, 3, FALSE), "")</f>
        <v/>
      </c>
      <c r="G21" s="18">
        <f>IFERROR(VLOOKUP($D21, '테스트 케이스'!$D$6:$G$1001, 4, FALSE), "")</f>
        <v/>
      </c>
      <c r="H21" s="7" t="n"/>
      <c r="I21" s="23" t="n"/>
      <c r="J21" s="8" t="n"/>
      <c r="K21" s="36" t="n"/>
      <c r="L21" s="7" t="n"/>
      <c r="M21" s="8" t="n"/>
      <c r="N21" s="8" t="n"/>
      <c r="O21" s="8" t="n"/>
      <c r="P21" s="8" t="n"/>
    </row>
    <row r="22" ht="54" customHeight="1" s="53">
      <c r="A22" s="54" t="n"/>
      <c r="B22" s="54" t="n"/>
      <c r="C22" s="50" t="inlineStr">
        <is>
          <t>닫기</t>
        </is>
      </c>
      <c r="D22" s="50" t="inlineStr">
        <is>
          <t>AD230_TC_017</t>
        </is>
      </c>
      <c r="E22" s="18">
        <f>IFERROR(VLOOKUP($D22, '테스트 케이스'!$D$6:$G$1001, 2, FALSE), "")</f>
        <v/>
      </c>
      <c r="F22" s="18">
        <f>IFERROR(VLOOKUP($D22, '테스트 케이스'!$D$6:$G$1001, 3, FALSE), "")</f>
        <v/>
      </c>
      <c r="G22" s="18">
        <f>IFERROR(VLOOKUP($D22, '테스트 케이스'!$D$6:$G$1001, 4, FALSE), "")</f>
        <v/>
      </c>
      <c r="H22" s="7" t="n"/>
      <c r="I22" s="23" t="n"/>
      <c r="J22" s="8" t="n"/>
      <c r="K22" s="36" t="n"/>
      <c r="L22" s="7" t="n"/>
      <c r="M22" s="8" t="n"/>
      <c r="N22" s="8" t="n"/>
      <c r="O22" s="8" t="n"/>
      <c r="P22" s="8" t="n"/>
    </row>
    <row r="23" ht="31.15" customHeight="1" s="53">
      <c r="A23" s="54" t="n"/>
      <c r="B23" s="54" t="n"/>
      <c r="C23" s="50" t="inlineStr">
        <is>
          <t>생성</t>
        </is>
      </c>
      <c r="D23" s="50" t="inlineStr">
        <is>
          <t>AD230_TC_018</t>
        </is>
      </c>
      <c r="E23" s="18">
        <f>IFERROR(VLOOKUP($D23, '테스트 케이스'!$D$6:$G$1001, 2, FALSE), "")</f>
        <v/>
      </c>
      <c r="F23" s="18">
        <f>IFERROR(VLOOKUP($D23, '테스트 케이스'!$D$6:$G$1001, 3, FALSE), "")</f>
        <v/>
      </c>
      <c r="G23" s="18">
        <f>IFERROR(VLOOKUP($D23, '테스트 케이스'!$D$6:$G$1001, 4, FALSE), "")</f>
        <v/>
      </c>
      <c r="H23" s="7" t="n"/>
      <c r="I23" s="23" t="n"/>
      <c r="J23" s="8" t="n"/>
      <c r="K23" s="36" t="n"/>
      <c r="L23" s="7" t="n"/>
      <c r="M23" s="8" t="n"/>
      <c r="N23" s="8" t="n"/>
      <c r="O23" s="8" t="n"/>
      <c r="P23" s="8" t="n"/>
    </row>
    <row r="24" ht="54" customHeight="1" s="53">
      <c r="A24" s="54" t="n"/>
      <c r="B24" s="54" t="n"/>
      <c r="C24" s="54" t="n"/>
      <c r="D24" s="50" t="inlineStr">
        <is>
          <t>AD230_TC_019</t>
        </is>
      </c>
      <c r="E24" s="18">
        <f>IFERROR(VLOOKUP($D24, '테스트 케이스'!$D$6:$G$1001, 2, FALSE), "")</f>
        <v/>
      </c>
      <c r="F24" s="18">
        <f>IFERROR(VLOOKUP($D24, '테스트 케이스'!$D$6:$G$1001, 3, FALSE), "")</f>
        <v/>
      </c>
      <c r="G24" s="18">
        <f>IFERROR(VLOOKUP($D24, '테스트 케이스'!$D$6:$G$1001, 4, FALSE), "")</f>
        <v/>
      </c>
      <c r="H24" s="7" t="n"/>
      <c r="I24" s="23" t="n"/>
      <c r="J24" s="8" t="n"/>
      <c r="K24" s="36" t="n"/>
      <c r="L24" s="7" t="n"/>
      <c r="M24" s="8" t="n"/>
      <c r="N24" s="8" t="n"/>
      <c r="O24" s="8" t="n"/>
      <c r="P24" s="8" t="n"/>
    </row>
    <row r="25" ht="31.15" customHeight="1" s="53">
      <c r="A25" s="54" t="n"/>
      <c r="B25" s="54" t="n"/>
      <c r="C25" s="55" t="n"/>
      <c r="D25" s="50" t="inlineStr">
        <is>
          <t>AD230_TC_020</t>
        </is>
      </c>
      <c r="E25" s="18">
        <f>IFERROR(VLOOKUP($D25, '테스트 케이스'!$D$6:$G$1001, 2, FALSE), "")</f>
        <v/>
      </c>
      <c r="F25" s="18">
        <f>IFERROR(VLOOKUP($D25, '테스트 케이스'!$D$6:$G$1001, 3, FALSE), "")</f>
        <v/>
      </c>
      <c r="G25" s="18">
        <f>IFERROR(VLOOKUP($D25, '테스트 케이스'!$D$6:$G$1001, 4, FALSE), "")</f>
        <v/>
      </c>
      <c r="H25" s="7" t="n"/>
      <c r="I25" s="23" t="n"/>
      <c r="J25" s="8" t="n"/>
      <c r="K25" s="36" t="n"/>
      <c r="L25" s="7" t="n"/>
      <c r="M25" s="8" t="n"/>
      <c r="N25" s="8" t="n"/>
      <c r="O25" s="8" t="n"/>
      <c r="P25" s="8" t="n"/>
    </row>
    <row r="26" ht="27" customHeight="1" s="53">
      <c r="A26" s="54" t="n"/>
      <c r="B26" s="54" t="n"/>
      <c r="C26" s="50" t="inlineStr">
        <is>
          <t>수정</t>
        </is>
      </c>
      <c r="D26" s="50" t="inlineStr">
        <is>
          <t>AD230_TC_021</t>
        </is>
      </c>
      <c r="E26" s="18">
        <f>IFERROR(VLOOKUP($D26, '테스트 케이스'!$D$6:$G$1001, 2, FALSE), "")</f>
        <v/>
      </c>
      <c r="F26" s="18">
        <f>IFERROR(VLOOKUP($D26, '테스트 케이스'!$D$6:$G$1001, 3, FALSE), "")</f>
        <v/>
      </c>
      <c r="G26" s="18">
        <f>IFERROR(VLOOKUP($D26, '테스트 케이스'!$D$6:$G$1001, 4, FALSE), "")</f>
        <v/>
      </c>
      <c r="H26" s="7" t="n"/>
      <c r="I26" s="23" t="n"/>
      <c r="J26" s="8" t="n"/>
      <c r="K26" s="36" t="n"/>
      <c r="L26" s="7" t="n"/>
      <c r="M26" s="8" t="n"/>
      <c r="N26" s="8" t="n"/>
      <c r="O26" s="8" t="n"/>
      <c r="P26" s="8" t="n"/>
    </row>
    <row r="27" ht="31.15" customHeight="1" s="53">
      <c r="A27" s="54" t="n"/>
      <c r="B27" s="54" t="n"/>
      <c r="C27" s="55" t="n"/>
      <c r="D27" s="50" t="inlineStr">
        <is>
          <t>AD230_TC_022</t>
        </is>
      </c>
      <c r="E27" s="18">
        <f>IFERROR(VLOOKUP($D27, '테스트 케이스'!$D$6:$G$1001, 2, FALSE), "")</f>
        <v/>
      </c>
      <c r="F27" s="18">
        <f>IFERROR(VLOOKUP($D27, '테스트 케이스'!$D$6:$G$1001, 3, FALSE), "")</f>
        <v/>
      </c>
      <c r="G27" s="18">
        <f>IFERROR(VLOOKUP($D27, '테스트 케이스'!$D$6:$G$1001, 4, FALSE), "")</f>
        <v/>
      </c>
      <c r="H27" s="7" t="n"/>
      <c r="I27" s="23" t="n"/>
      <c r="J27" s="8" t="n"/>
      <c r="K27" s="36" t="n"/>
      <c r="L27" s="7" t="n"/>
      <c r="M27" s="8" t="n"/>
      <c r="N27" s="8" t="n"/>
      <c r="O27" s="8" t="n"/>
      <c r="P27" s="8" t="n"/>
    </row>
    <row r="28" ht="31.15" customHeight="1" s="53">
      <c r="A28" s="54" t="n"/>
      <c r="B28" s="54" t="n"/>
      <c r="C28" s="50" t="inlineStr">
        <is>
          <t>삭제</t>
        </is>
      </c>
      <c r="D28" s="50" t="inlineStr">
        <is>
          <t>AD230_TC_023</t>
        </is>
      </c>
      <c r="E28" s="18">
        <f>IFERROR(VLOOKUP($D28, '테스트 케이스'!$D$6:$G$1001, 2, FALSE), "")</f>
        <v/>
      </c>
      <c r="F28" s="18">
        <f>IFERROR(VLOOKUP($D28, '테스트 케이스'!$D$6:$G$1001, 3, FALSE), "")</f>
        <v/>
      </c>
      <c r="G28" s="18">
        <f>IFERROR(VLOOKUP($D28, '테스트 케이스'!$D$6:$G$1001, 4, FALSE), "")</f>
        <v/>
      </c>
      <c r="H28" s="7" t="n"/>
      <c r="I28" s="23" t="n"/>
      <c r="J28" s="8" t="n"/>
      <c r="K28" s="36" t="n"/>
      <c r="L28" s="7" t="n"/>
      <c r="M28" s="8" t="n"/>
      <c r="N28" s="8" t="n"/>
      <c r="O28" s="8" t="n"/>
      <c r="P28" s="8" t="n"/>
    </row>
    <row r="29" ht="31.15" customHeight="1" s="53">
      <c r="A29" s="54" t="n"/>
      <c r="B29" s="54" t="n"/>
      <c r="C29" s="55" t="n"/>
      <c r="D29" s="50" t="inlineStr">
        <is>
          <t>AD230_TC_024</t>
        </is>
      </c>
      <c r="E29" s="18">
        <f>IFERROR(VLOOKUP($D29, '테스트 케이스'!$D$6:$G$1001, 2, FALSE), "")</f>
        <v/>
      </c>
      <c r="F29" s="18">
        <f>IFERROR(VLOOKUP($D29, '테스트 케이스'!$D$6:$G$1001, 3, FALSE), "")</f>
        <v/>
      </c>
      <c r="G29" s="18">
        <f>IFERROR(VLOOKUP($D29, '테스트 케이스'!$D$6:$G$1001, 4, FALSE), "")</f>
        <v/>
      </c>
      <c r="H29" s="7" t="n"/>
      <c r="I29" s="23" t="n"/>
      <c r="J29" s="8" t="n"/>
      <c r="K29" s="36" t="n"/>
      <c r="L29" s="7" t="n"/>
      <c r="M29" s="8" t="n"/>
      <c r="N29" s="8" t="n"/>
      <c r="O29" s="8" t="n"/>
      <c r="P29" s="8" t="n"/>
    </row>
    <row r="30" ht="27" customHeight="1" s="53">
      <c r="A30" s="54" t="n"/>
      <c r="B30" s="54" t="n"/>
      <c r="C30" s="50" t="inlineStr">
        <is>
          <t>Excel</t>
        </is>
      </c>
      <c r="D30" s="50" t="inlineStr">
        <is>
          <t>AD230_TC_025</t>
        </is>
      </c>
      <c r="E30" s="18">
        <f>IFERROR(VLOOKUP($D30, '테스트 케이스'!$D$6:$G$1001, 2, FALSE), "")</f>
        <v/>
      </c>
      <c r="F30" s="18">
        <f>IFERROR(VLOOKUP($D30, '테스트 케이스'!$D$6:$G$1001, 3, FALSE), "")</f>
        <v/>
      </c>
      <c r="G30" s="18">
        <f>IFERROR(VLOOKUP($D30, '테스트 케이스'!$D$6:$G$1001, 4, FALSE), "")</f>
        <v/>
      </c>
      <c r="H30" s="7" t="n"/>
      <c r="I30" s="23" t="n"/>
      <c r="J30" s="8" t="n"/>
      <c r="K30" s="36" t="n"/>
      <c r="L30" s="7" t="n"/>
      <c r="M30" s="8" t="n"/>
      <c r="N30" s="8" t="n"/>
      <c r="O30" s="8" t="n"/>
      <c r="P30" s="8" t="n"/>
    </row>
    <row r="31" ht="31.15" customHeight="1" s="53">
      <c r="A31" s="54" t="n"/>
      <c r="B31" s="54" t="n"/>
      <c r="C31" s="50" t="inlineStr">
        <is>
          <t>Setting</t>
        </is>
      </c>
      <c r="D31" s="50" t="inlineStr">
        <is>
          <t>AD230_TC_026</t>
        </is>
      </c>
      <c r="E31" s="18">
        <f>IFERROR(VLOOKUP($D31, '테스트 케이스'!$D$6:$G$1001, 2, FALSE), "")</f>
        <v/>
      </c>
      <c r="F31" s="18">
        <f>IFERROR(VLOOKUP($D31, '테스트 케이스'!$D$6:$G$1001, 3, FALSE), "")</f>
        <v/>
      </c>
      <c r="G31" s="18">
        <f>IFERROR(VLOOKUP($D31, '테스트 케이스'!$D$6:$G$1001, 4, FALSE), "")</f>
        <v/>
      </c>
      <c r="H31" s="7" t="n"/>
      <c r="I31" s="23" t="n"/>
      <c r="J31" s="8" t="n"/>
      <c r="K31" s="36" t="n"/>
      <c r="L31" s="7" t="n"/>
      <c r="M31" s="8" t="n"/>
      <c r="N31" s="8" t="n"/>
      <c r="O31" s="8" t="n"/>
      <c r="P31" s="8" t="n"/>
    </row>
    <row r="32" ht="31.15" customHeight="1" s="53">
      <c r="A32" s="54" t="n"/>
      <c r="B32" s="54" t="n"/>
      <c r="C32" s="50" t="inlineStr">
        <is>
          <t>일정생성</t>
        </is>
      </c>
      <c r="D32" s="50" t="inlineStr">
        <is>
          <t>AD230_TC_027</t>
        </is>
      </c>
      <c r="E32" s="18">
        <f>IFERROR(VLOOKUP($D32, '테스트 케이스'!$D$6:$G$1001, 2, FALSE), "")</f>
        <v/>
      </c>
      <c r="F32" s="18">
        <f>IFERROR(VLOOKUP($D32, '테스트 케이스'!$D$6:$G$1001, 3, FALSE), "")</f>
        <v/>
      </c>
      <c r="G32" s="18">
        <f>IFERROR(VLOOKUP($D32, '테스트 케이스'!$D$6:$G$1001, 4, FALSE), "")</f>
        <v/>
      </c>
      <c r="H32" s="7" t="n"/>
      <c r="I32" s="23" t="n"/>
      <c r="J32" s="8" t="n"/>
      <c r="K32" s="36" t="n"/>
      <c r="L32" s="7" t="n"/>
      <c r="M32" s="8" t="n"/>
      <c r="N32" s="8" t="n"/>
      <c r="O32" s="8" t="n"/>
      <c r="P32" s="8" t="n"/>
    </row>
    <row r="33" ht="31.15" customHeight="1" s="53">
      <c r="A33" s="54" t="n"/>
      <c r="B33" s="54" t="n"/>
      <c r="C33" s="55" t="n"/>
      <c r="D33" s="50" t="inlineStr">
        <is>
          <t>AD230_TC_028</t>
        </is>
      </c>
      <c r="E33" s="18">
        <f>IFERROR(VLOOKUP($D33, '테스트 케이스'!$D$6:$G$1001, 2, FALSE), "")</f>
        <v/>
      </c>
      <c r="F33" s="18">
        <f>IFERROR(VLOOKUP($D33, '테스트 케이스'!$D$6:$G$1001, 3, FALSE), "")</f>
        <v/>
      </c>
      <c r="G33" s="18">
        <f>IFERROR(VLOOKUP($D33, '테스트 케이스'!$D$6:$G$1001, 4, FALSE), "")</f>
        <v/>
      </c>
      <c r="H33" s="7" t="n"/>
      <c r="I33" s="23" t="n"/>
      <c r="J33" s="8" t="n"/>
      <c r="K33" s="36" t="n"/>
      <c r="L33" s="7" t="n"/>
      <c r="M33" s="8" t="n"/>
      <c r="N33" s="8" t="n"/>
      <c r="O33" s="8" t="n"/>
      <c r="P33" s="8" t="n"/>
    </row>
    <row r="34" ht="27" customHeight="1" s="53">
      <c r="A34" s="54" t="n"/>
      <c r="B34" s="54" t="n"/>
      <c r="C34" s="50" t="inlineStr">
        <is>
          <t>Linked</t>
        </is>
      </c>
      <c r="D34" s="50" t="inlineStr">
        <is>
          <t>AD230_TC_029</t>
        </is>
      </c>
      <c r="E34" s="18">
        <f>IFERROR(VLOOKUP($D34, '테스트 케이스'!$D$6:$G$1001, 2, FALSE), "")</f>
        <v/>
      </c>
      <c r="F34" s="18">
        <f>IFERROR(VLOOKUP($D34, '테스트 케이스'!$D$6:$G$1001, 3, FALSE), "")</f>
        <v/>
      </c>
      <c r="G34" s="18">
        <f>IFERROR(VLOOKUP($D34, '테스트 케이스'!$D$6:$G$1001, 4, FALSE), "")</f>
        <v/>
      </c>
      <c r="H34" s="7" t="n"/>
      <c r="I34" s="23" t="n"/>
      <c r="J34" s="8" t="n"/>
      <c r="K34" s="36" t="n"/>
      <c r="L34" s="7" t="n"/>
      <c r="M34" s="8" t="n"/>
      <c r="N34" s="8" t="n"/>
      <c r="O34" s="8" t="n"/>
      <c r="P34" s="8" t="n"/>
    </row>
    <row r="35" ht="31.15" customHeight="1" s="53">
      <c r="A35" s="54" t="n"/>
      <c r="B35" s="55" t="n"/>
      <c r="C35" s="55" t="n"/>
      <c r="D35" s="50" t="inlineStr">
        <is>
          <t>AD230_TC_030</t>
        </is>
      </c>
      <c r="E35" s="18">
        <f>IFERROR(VLOOKUP($D35, '테스트 케이스'!$D$6:$G$1001, 2, FALSE), "")</f>
        <v/>
      </c>
      <c r="F35" s="18">
        <f>IFERROR(VLOOKUP($D35, '테스트 케이스'!$D$6:$G$1001, 3, FALSE), "")</f>
        <v/>
      </c>
      <c r="G35" s="18">
        <f>IFERROR(VLOOKUP($D35, '테스트 케이스'!$D$6:$G$1001, 4, FALSE), "")</f>
        <v/>
      </c>
      <c r="H35" s="7" t="n"/>
      <c r="I35" s="23" t="n"/>
      <c r="J35" s="8" t="n"/>
      <c r="K35" s="36" t="n"/>
      <c r="L35" s="7" t="n"/>
      <c r="M35" s="8" t="n"/>
      <c r="N35" s="8" t="n"/>
      <c r="O35" s="8" t="n"/>
      <c r="P35" s="8" t="n"/>
    </row>
    <row r="36" ht="31.15" customHeight="1" s="53">
      <c r="A36" s="54" t="n"/>
      <c r="B36" s="50" t="inlineStr">
        <is>
          <t>설비</t>
        </is>
      </c>
      <c r="C36" s="50" t="inlineStr">
        <is>
          <t>탭조회</t>
        </is>
      </c>
      <c r="D36" s="50" t="inlineStr">
        <is>
          <t>AD230_TC_031</t>
        </is>
      </c>
      <c r="E36" s="18">
        <f>IFERROR(VLOOKUP($D36, '테스트 케이스'!$D$6:$G$1001, 2, FALSE), "")</f>
        <v/>
      </c>
      <c r="F36" s="18">
        <f>IFERROR(VLOOKUP($D36, '테스트 케이스'!$D$6:$G$1001, 3, FALSE), "")</f>
        <v/>
      </c>
      <c r="G36" s="18">
        <f>IFERROR(VLOOKUP($D36, '테스트 케이스'!$D$6:$G$1001, 4, FALSE), "")</f>
        <v/>
      </c>
      <c r="H36" s="7" t="n"/>
      <c r="I36" s="23" t="n"/>
      <c r="J36" s="8" t="n"/>
      <c r="K36" s="36" t="n"/>
      <c r="L36" s="7" t="n"/>
      <c r="M36" s="8" t="n"/>
      <c r="N36" s="8" t="n"/>
      <c r="O36" s="8" t="n"/>
      <c r="P36" s="8" t="n"/>
    </row>
    <row r="37" ht="31.15" customHeight="1" s="53">
      <c r="A37" s="54" t="n"/>
      <c r="B37" s="54" t="n"/>
      <c r="C37" s="50" t="inlineStr">
        <is>
          <t>탭생성</t>
        </is>
      </c>
      <c r="D37" s="50" t="inlineStr">
        <is>
          <t>AD230_TC_032</t>
        </is>
      </c>
      <c r="E37" s="18">
        <f>IFERROR(VLOOKUP($D37, '테스트 케이스'!$D$6:$G$1001, 2, FALSE), "")</f>
        <v/>
      </c>
      <c r="F37" s="18">
        <f>IFERROR(VLOOKUP($D37, '테스트 케이스'!$D$6:$G$1001, 3, FALSE), "")</f>
        <v/>
      </c>
      <c r="G37" s="18">
        <f>IFERROR(VLOOKUP($D37, '테스트 케이스'!$D$6:$G$1001, 4, FALSE), "")</f>
        <v/>
      </c>
      <c r="H37" s="7" t="n"/>
      <c r="I37" s="23" t="n"/>
      <c r="J37" s="8" t="n"/>
      <c r="K37" s="36" t="n"/>
      <c r="L37" s="7" t="n"/>
      <c r="M37" s="8" t="n"/>
      <c r="N37" s="8" t="n"/>
      <c r="O37" s="8" t="n"/>
      <c r="P37" s="8" t="n"/>
    </row>
    <row r="38" ht="31.15" customHeight="1" s="53">
      <c r="A38" s="54" t="n"/>
      <c r="B38" s="54" t="n"/>
      <c r="C38" s="55" t="n"/>
      <c r="D38" s="50" t="inlineStr">
        <is>
          <t>AD230_TC_033</t>
        </is>
      </c>
      <c r="E38" s="18">
        <f>IFERROR(VLOOKUP($D38, '테스트 케이스'!$D$6:$G$1001, 2, FALSE), "")</f>
        <v/>
      </c>
      <c r="F38" s="18">
        <f>IFERROR(VLOOKUP($D38, '테스트 케이스'!$D$6:$G$1001, 3, FALSE), "")</f>
        <v/>
      </c>
      <c r="G38" s="18">
        <f>IFERROR(VLOOKUP($D38, '테스트 케이스'!$D$6:$G$1001, 4, FALSE), "")</f>
        <v/>
      </c>
      <c r="H38" s="7" t="n"/>
      <c r="I38" s="23" t="n"/>
      <c r="J38" s="8" t="n"/>
      <c r="K38" s="36" t="n"/>
      <c r="L38" s="7" t="n"/>
      <c r="M38" s="8" t="n"/>
      <c r="N38" s="8" t="n"/>
      <c r="O38" s="8" t="n"/>
      <c r="P38" s="8" t="n"/>
    </row>
    <row r="39" ht="31.15" customHeight="1" s="53">
      <c r="A39" s="54" t="n"/>
      <c r="B39" s="54" t="n"/>
      <c r="C39" s="50" t="inlineStr">
        <is>
          <t>탭수정</t>
        </is>
      </c>
      <c r="D39" s="50" t="inlineStr">
        <is>
          <t>AD230_TC_034</t>
        </is>
      </c>
      <c r="E39" s="18">
        <f>IFERROR(VLOOKUP($D39, '테스트 케이스'!$D$6:$G$1001, 2, FALSE), "")</f>
        <v/>
      </c>
      <c r="F39" s="18">
        <f>IFERROR(VLOOKUP($D39, '테스트 케이스'!$D$6:$G$1001, 3, FALSE), "")</f>
        <v/>
      </c>
      <c r="G39" s="18">
        <f>IFERROR(VLOOKUP($D39, '테스트 케이스'!$D$6:$G$1001, 4, FALSE), "")</f>
        <v/>
      </c>
      <c r="H39" s="7" t="n"/>
      <c r="I39" s="23" t="n"/>
      <c r="J39" s="8" t="n"/>
      <c r="K39" s="36" t="n"/>
      <c r="L39" s="7" t="n"/>
      <c r="M39" s="8" t="n"/>
      <c r="N39" s="8" t="n"/>
      <c r="O39" s="8" t="n"/>
      <c r="P39" s="8" t="n"/>
    </row>
    <row r="40" ht="31.15" customHeight="1" s="53">
      <c r="A40" s="54" t="n"/>
      <c r="B40" s="54" t="n"/>
      <c r="C40" s="50" t="inlineStr">
        <is>
          <t>탭삭제</t>
        </is>
      </c>
      <c r="D40" s="50" t="inlineStr">
        <is>
          <t>AD230_TC_035</t>
        </is>
      </c>
      <c r="E40" s="18">
        <f>IFERROR(VLOOKUP($D40, '테스트 케이스'!$D$6:$G$1001, 2, FALSE), "")</f>
        <v/>
      </c>
      <c r="F40" s="18">
        <f>IFERROR(VLOOKUP($D40, '테스트 케이스'!$D$6:$G$1001, 3, FALSE), "")</f>
        <v/>
      </c>
      <c r="G40" s="18">
        <f>IFERROR(VLOOKUP($D40, '테스트 케이스'!$D$6:$G$1001, 4, FALSE), "")</f>
        <v/>
      </c>
      <c r="H40" s="7" t="n"/>
      <c r="I40" s="23" t="n"/>
      <c r="J40" s="8" t="n"/>
      <c r="K40" s="36" t="n"/>
      <c r="L40" s="7" t="n"/>
      <c r="M40" s="8" t="n"/>
      <c r="N40" s="8" t="n"/>
      <c r="O40" s="8" t="n"/>
      <c r="P40" s="8" t="n"/>
    </row>
    <row r="41" ht="27" customHeight="1" s="53">
      <c r="A41" s="54" t="n"/>
      <c r="B41" s="55" t="n"/>
      <c r="C41" s="50" t="inlineStr">
        <is>
          <t>탭Excel</t>
        </is>
      </c>
      <c r="D41" s="50" t="inlineStr">
        <is>
          <t>AD230_TC_036</t>
        </is>
      </c>
      <c r="E41" s="18">
        <f>IFERROR(VLOOKUP($D41, '테스트 케이스'!$D$6:$G$1001, 2, FALSE), "")</f>
        <v/>
      </c>
      <c r="F41" s="18">
        <f>IFERROR(VLOOKUP($D41, '테스트 케이스'!$D$6:$G$1001, 3, FALSE), "")</f>
        <v/>
      </c>
      <c r="G41" s="18">
        <f>IFERROR(VLOOKUP($D41, '테스트 케이스'!$D$6:$G$1001, 4, FALSE), "")</f>
        <v/>
      </c>
      <c r="H41" s="7" t="n"/>
      <c r="I41" s="23" t="n"/>
      <c r="J41" s="8" t="n"/>
      <c r="K41" s="36" t="n"/>
      <c r="L41" s="7" t="n"/>
      <c r="M41" s="8" t="n"/>
      <c r="N41" s="8" t="n"/>
      <c r="O41" s="8" t="n"/>
      <c r="P41" s="8" t="n"/>
    </row>
    <row r="42" ht="31.15" customHeight="1" s="53">
      <c r="A42" s="54" t="n"/>
      <c r="B42" s="50" t="inlineStr">
        <is>
          <t>표준작업</t>
        </is>
      </c>
      <c r="C42" s="50" t="inlineStr">
        <is>
          <t>탭생성/삭제</t>
        </is>
      </c>
      <c r="D42" s="50" t="inlineStr">
        <is>
          <t>AD230_TC_037</t>
        </is>
      </c>
      <c r="E42" s="18">
        <f>IFERROR(VLOOKUP($D42, '테스트 케이스'!$D$6:$G$1001, 2, FALSE), "")</f>
        <v/>
      </c>
      <c r="F42" s="18">
        <f>IFERROR(VLOOKUP($D42, '테스트 케이스'!$D$6:$G$1001, 3, FALSE), "")</f>
        <v/>
      </c>
      <c r="G42" s="18">
        <f>IFERROR(VLOOKUP($D42, '테스트 케이스'!$D$6:$G$1001, 4, FALSE), "")</f>
        <v/>
      </c>
      <c r="H42" s="7" t="n"/>
      <c r="I42" s="23" t="n"/>
      <c r="J42" s="8" t="n"/>
      <c r="K42" s="36" t="n"/>
      <c r="L42" s="7" t="n"/>
      <c r="M42" s="8" t="n"/>
      <c r="N42" s="8" t="n"/>
      <c r="O42" s="8" t="n"/>
      <c r="P42" s="8" t="n"/>
    </row>
    <row r="43" ht="31.15" customHeight="1" s="53">
      <c r="A43" s="54" t="n"/>
      <c r="B43" s="50" t="inlineStr">
        <is>
          <t>점검</t>
        </is>
      </c>
      <c r="C43" s="50" t="inlineStr">
        <is>
          <t>탭생성</t>
        </is>
      </c>
      <c r="D43" s="50" t="inlineStr">
        <is>
          <t>AD230_TC_038</t>
        </is>
      </c>
      <c r="E43" s="18">
        <f>IFERROR(VLOOKUP($D43, '테스트 케이스'!$D$6:$G$1001, 2, FALSE), "")</f>
        <v/>
      </c>
      <c r="F43" s="18">
        <f>IFERROR(VLOOKUP($D43, '테스트 케이스'!$D$6:$G$1001, 3, FALSE), "")</f>
        <v/>
      </c>
      <c r="G43" s="18">
        <f>IFERROR(VLOOKUP($D43, '테스트 케이스'!$D$6:$G$1001, 4, FALSE), "")</f>
        <v/>
      </c>
      <c r="H43" s="7" t="n"/>
      <c r="I43" s="23" t="n"/>
      <c r="J43" s="8" t="n"/>
      <c r="K43" s="36" t="n"/>
      <c r="L43" s="7" t="n"/>
      <c r="M43" s="8" t="n"/>
      <c r="N43" s="8" t="n"/>
      <c r="O43" s="8" t="n"/>
      <c r="P43" s="8" t="n"/>
    </row>
    <row r="44" ht="31.15" customHeight="1" s="53">
      <c r="A44" s="54" t="n"/>
      <c r="B44" s="54" t="n"/>
      <c r="C44" s="50" t="inlineStr">
        <is>
          <t>표준항목선택</t>
        </is>
      </c>
      <c r="D44" s="50" t="inlineStr">
        <is>
          <t>AD230_TC_039</t>
        </is>
      </c>
      <c r="E44" s="18">
        <f>IFERROR(VLOOKUP($D44, '테스트 케이스'!$D$6:$G$1001, 2, FALSE), "")</f>
        <v/>
      </c>
      <c r="F44" s="18">
        <f>IFERROR(VLOOKUP($D44, '테스트 케이스'!$D$6:$G$1001, 3, FALSE), "")</f>
        <v/>
      </c>
      <c r="G44" s="18">
        <f>IFERROR(VLOOKUP($D44, '테스트 케이스'!$D$6:$G$1001, 4, FALSE), "")</f>
        <v/>
      </c>
      <c r="H44" s="7" t="n"/>
      <c r="I44" s="23" t="n"/>
      <c r="J44" s="8" t="n"/>
      <c r="K44" s="36" t="n"/>
      <c r="L44" s="7" t="n"/>
      <c r="M44" s="8" t="n"/>
      <c r="N44" s="8" t="n"/>
      <c r="O44" s="8" t="n"/>
      <c r="P44" s="8" t="n"/>
    </row>
    <row r="45" ht="27" customHeight="1" s="53">
      <c r="A45" s="54" t="n"/>
      <c r="B45" s="54" t="n"/>
      <c r="C45" s="50" t="inlineStr">
        <is>
          <t>탭수정</t>
        </is>
      </c>
      <c r="D45" s="50" t="inlineStr">
        <is>
          <t>AD230_TC_040</t>
        </is>
      </c>
      <c r="E45" s="18">
        <f>IFERROR(VLOOKUP($D45, '테스트 케이스'!$D$6:$G$1001, 2, FALSE), "")</f>
        <v/>
      </c>
      <c r="F45" s="18">
        <f>IFERROR(VLOOKUP($D45, '테스트 케이스'!$D$6:$G$1001, 3, FALSE), "")</f>
        <v/>
      </c>
      <c r="G45" s="18">
        <f>IFERROR(VLOOKUP($D45, '테스트 케이스'!$D$6:$G$1001, 4, FALSE), "")</f>
        <v/>
      </c>
      <c r="H45" s="7" t="n"/>
      <c r="I45" s="23" t="n"/>
      <c r="J45" s="8" t="n"/>
      <c r="K45" s="36" t="n"/>
      <c r="L45" s="7" t="n"/>
      <c r="M45" s="8" t="n"/>
      <c r="N45" s="8" t="n"/>
      <c r="O45" s="8" t="n"/>
      <c r="P45" s="8" t="n"/>
    </row>
    <row r="46" ht="31.15" customHeight="1" s="53">
      <c r="A46" s="54" t="n"/>
      <c r="B46" s="55" t="n"/>
      <c r="C46" s="50" t="inlineStr">
        <is>
          <t>탭삭제</t>
        </is>
      </c>
      <c r="D46" s="50" t="inlineStr">
        <is>
          <t>AD230_TC_041</t>
        </is>
      </c>
      <c r="E46" s="18">
        <f>IFERROR(VLOOKUP($D46, '테스트 케이스'!$D$6:$G$1001, 2, FALSE), "")</f>
        <v/>
      </c>
      <c r="F46" s="18">
        <f>IFERROR(VLOOKUP($D46, '테스트 케이스'!$D$6:$G$1001, 3, FALSE), "")</f>
        <v/>
      </c>
      <c r="G46" s="18">
        <f>IFERROR(VLOOKUP($D46, '테스트 케이스'!$D$6:$G$1001, 4, FALSE), "")</f>
        <v/>
      </c>
      <c r="H46" s="7" t="n"/>
      <c r="I46" s="23" t="n"/>
      <c r="J46" s="8" t="n"/>
      <c r="K46" s="36" t="n"/>
      <c r="L46" s="7" t="n"/>
      <c r="M46" s="8" t="n"/>
      <c r="N46" s="8" t="n"/>
      <c r="O46" s="8" t="n"/>
      <c r="P46" s="8" t="n"/>
    </row>
    <row r="47" ht="31.15" customHeight="1" s="53">
      <c r="A47" s="55" t="n"/>
      <c r="B47" s="50" t="inlineStr">
        <is>
          <t>첨부문서</t>
        </is>
      </c>
      <c r="C47" s="50" t="inlineStr">
        <is>
          <t>탭생성/삭제</t>
        </is>
      </c>
      <c r="D47" s="50" t="inlineStr">
        <is>
          <t>AD230_TC_042</t>
        </is>
      </c>
      <c r="E47" s="18">
        <f>IFERROR(VLOOKUP($D47, '테스트 케이스'!$D$6:$G$1001, 2, FALSE), "")</f>
        <v/>
      </c>
      <c r="F47" s="18">
        <f>IFERROR(VLOOKUP($D47, '테스트 케이스'!$D$6:$G$1001, 3, FALSE), "")</f>
        <v/>
      </c>
      <c r="G47" s="18">
        <f>IFERROR(VLOOKUP($D47, '테스트 케이스'!$D$6:$G$1001, 4, FALSE), "")</f>
        <v/>
      </c>
      <c r="H47" s="7" t="n"/>
      <c r="I47" s="23" t="n"/>
      <c r="J47" s="8" t="n"/>
      <c r="K47" s="36" t="n"/>
      <c r="L47" s="7" t="n"/>
      <c r="M47" s="8" t="n"/>
      <c r="N47" s="8" t="n"/>
      <c r="O47" s="8" t="n"/>
      <c r="P47" s="8" t="n"/>
    </row>
    <row r="48" ht="31.15" customHeight="1" s="53"/>
    <row r="49" ht="31.15" customHeight="1" s="53"/>
    <row r="50" ht="54" customHeight="1" s="53">
      <c r="A50" t="inlineStr">
        <is>
          <t>엣지케이스</t>
        </is>
      </c>
    </row>
    <row r="51" ht="40.5" customHeight="1" s="53">
      <c r="A51" s="29" t="inlineStr">
        <is>
          <t>메뉴명</t>
        </is>
      </c>
      <c r="B51" s="30" t="inlineStr">
        <is>
          <t>탭 명</t>
        </is>
      </c>
      <c r="C51" s="29" t="inlineStr">
        <is>
          <t>기능</t>
        </is>
      </c>
      <c r="D51" s="29" t="inlineStr">
        <is>
          <t>테스트ID</t>
        </is>
      </c>
      <c r="E51" s="29" t="inlineStr">
        <is>
          <t>CASE</t>
        </is>
      </c>
      <c r="F51" s="29" t="inlineStr">
        <is>
          <t>STEP</t>
        </is>
      </c>
      <c r="G51" s="29" t="inlineStr">
        <is>
          <t>테스트 예상 결과</t>
        </is>
      </c>
      <c r="H51" s="31" t="inlineStr">
        <is>
          <t>QA</t>
        </is>
      </c>
      <c r="I51" s="31" t="inlineStr">
        <is>
          <t>QA결과 
(정상/오류)</t>
        </is>
      </c>
      <c r="J51" s="31" t="inlineStr">
        <is>
          <t>QA내용</t>
        </is>
      </c>
      <c r="K51" s="32" t="inlineStr">
        <is>
          <t>QA날짜</t>
        </is>
      </c>
      <c r="L51" s="32" t="inlineStr">
        <is>
          <t>첨부파일</t>
        </is>
      </c>
      <c r="M51" s="33" t="inlineStr">
        <is>
          <t>Dev</t>
        </is>
      </c>
      <c r="N51" s="33" t="inlineStr">
        <is>
          <t>조치결과
(완료/불가/보류)</t>
        </is>
      </c>
      <c r="O51" s="34" t="inlineStr">
        <is>
          <t>조치내용</t>
        </is>
      </c>
      <c r="P51" s="35" t="inlineStr">
        <is>
          <t>조치날짜</t>
        </is>
      </c>
    </row>
    <row r="52" ht="62.45" customHeight="1" s="53">
      <c r="A52" s="50" t="inlineStr">
        <is>
          <t>정기점검주기_AD230</t>
        </is>
      </c>
      <c r="B52" s="50" t="inlineStr">
        <is>
          <t>설비, 점검</t>
        </is>
      </c>
      <c r="C52" s="50" t="inlineStr">
        <is>
          <t>일정생성</t>
        </is>
      </c>
      <c r="D52" s="50" t="inlineStr">
        <is>
          <t>AD230_EC_001</t>
        </is>
      </c>
      <c r="E52" s="18">
        <f>IFERROR(VLOOKUP($D52, '테스트 케이스'!$D$6:$G$1001, 2, FALSE), "")</f>
        <v/>
      </c>
      <c r="F52" s="18">
        <f>IFERROR(VLOOKUP($D52, '테스트 케이스'!$D$6:$G$1001, 3, FALSE), "")</f>
        <v/>
      </c>
      <c r="G52" s="18">
        <f>IFERROR(VLOOKUP($D52, '테스트 케이스'!$D$6:$G$1001, 4, FALSE), "")</f>
        <v/>
      </c>
      <c r="H52" s="7" t="n"/>
      <c r="I52" s="23" t="n"/>
      <c r="J52" s="8" t="n"/>
      <c r="K52" s="36" t="n"/>
      <c r="L52" s="7" t="n"/>
      <c r="M52" s="8" t="n"/>
      <c r="N52" s="8" t="n"/>
      <c r="O52" s="8" t="n"/>
      <c r="P52" s="8" t="n"/>
    </row>
    <row r="53" ht="31.15" customHeight="1" s="53">
      <c r="A53" s="54" t="n"/>
      <c r="B53" s="54" t="n"/>
      <c r="C53" s="50" t="inlineStr">
        <is>
          <t>일정생성</t>
        </is>
      </c>
      <c r="D53" s="50" t="inlineStr">
        <is>
          <t>AD230_EC_002</t>
        </is>
      </c>
      <c r="E53" s="18">
        <f>IFERROR(VLOOKUP($D53, '테스트 케이스'!$D$6:$G$1001, 2, FALSE), "")</f>
        <v/>
      </c>
      <c r="F53" s="18">
        <f>IFERROR(VLOOKUP($D53, '테스트 케이스'!$D$6:$G$1001, 3, FALSE), "")</f>
        <v/>
      </c>
      <c r="G53" s="18">
        <f>IFERROR(VLOOKUP($D53, '테스트 케이스'!$D$6:$G$1001, 4, FALSE), "")</f>
        <v/>
      </c>
      <c r="H53" s="7" t="n"/>
      <c r="I53" s="23" t="n"/>
      <c r="J53" s="8" t="n"/>
      <c r="K53" s="36" t="n"/>
      <c r="L53" s="7" t="n"/>
      <c r="M53" s="8" t="n"/>
      <c r="N53" s="8" t="n"/>
      <c r="O53" s="8" t="n"/>
      <c r="P53" s="8" t="n"/>
    </row>
    <row r="54" ht="31.15" customHeight="1" s="53">
      <c r="A54" s="54" t="n"/>
      <c r="B54" s="54" t="n"/>
      <c r="C54" s="54" t="n"/>
      <c r="D54" s="50" t="inlineStr">
        <is>
          <t>AD230_EC_003</t>
        </is>
      </c>
      <c r="E54" s="18">
        <f>IFERROR(VLOOKUP($D54, '테스트 케이스'!$D$6:$G$1001, 2, FALSE), "")</f>
        <v/>
      </c>
      <c r="F54" s="18">
        <f>IFERROR(VLOOKUP($D54, '테스트 케이스'!$D$6:$G$1001, 3, FALSE), "")</f>
        <v/>
      </c>
      <c r="G54" s="18">
        <f>IFERROR(VLOOKUP($D54, '테스트 케이스'!$D$6:$G$1001, 4, FALSE), "")</f>
        <v/>
      </c>
      <c r="H54" s="7" t="n"/>
      <c r="I54" s="23" t="n"/>
      <c r="J54" s="8" t="n"/>
      <c r="K54" s="36" t="n"/>
      <c r="L54" s="7" t="n"/>
      <c r="M54" s="8" t="n"/>
      <c r="N54" s="8" t="n"/>
      <c r="O54" s="8" t="n"/>
      <c r="P54" s="8" t="n"/>
    </row>
    <row r="55" ht="31.15" customHeight="1" s="53">
      <c r="A55" s="54" t="n"/>
      <c r="B55" s="54" t="n"/>
      <c r="C55" s="54" t="n"/>
      <c r="D55" s="50" t="inlineStr">
        <is>
          <t>AD230_EC_004</t>
        </is>
      </c>
      <c r="E55" s="18">
        <f>IFERROR(VLOOKUP($D55, '테스트 케이스'!$D$6:$G$1001, 2, FALSE), "")</f>
        <v/>
      </c>
      <c r="F55" s="18">
        <f>IFERROR(VLOOKUP($D55, '테스트 케이스'!$D$6:$G$1001, 3, FALSE), "")</f>
        <v/>
      </c>
      <c r="G55" s="18">
        <f>IFERROR(VLOOKUP($D55, '테스트 케이스'!$D$6:$G$1001, 4, FALSE), "")</f>
        <v/>
      </c>
      <c r="H55" s="7" t="n"/>
      <c r="I55" s="23" t="n"/>
      <c r="J55" s="8" t="n"/>
      <c r="K55" s="36" t="n"/>
      <c r="L55" s="7" t="n"/>
      <c r="M55" s="8" t="n"/>
      <c r="N55" s="8" t="n"/>
      <c r="O55" s="8" t="n"/>
      <c r="P55" s="8" t="n"/>
    </row>
    <row r="56" ht="31.15" customHeight="1" s="53">
      <c r="A56" s="54" t="n"/>
      <c r="B56" s="55" t="n"/>
      <c r="C56" s="55" t="n"/>
      <c r="D56" s="50" t="inlineStr">
        <is>
          <t>AD230_EC_005</t>
        </is>
      </c>
      <c r="E56" s="18">
        <f>IFERROR(VLOOKUP($D56, '테스트 케이스'!$D$6:$G$1001, 2, FALSE), "")</f>
        <v/>
      </c>
      <c r="F56" s="18">
        <f>IFERROR(VLOOKUP($D56, '테스트 케이스'!$D$6:$G$1001, 3, FALSE), "")</f>
        <v/>
      </c>
      <c r="G56" s="18">
        <f>IFERROR(VLOOKUP($D56, '테스트 케이스'!$D$6:$G$1001, 4, FALSE), "")</f>
        <v/>
      </c>
      <c r="H56" s="7" t="n"/>
      <c r="I56" s="23" t="n"/>
      <c r="J56" s="8" t="n"/>
      <c r="K56" s="36" t="n"/>
      <c r="L56" s="7" t="n"/>
      <c r="M56" s="8" t="n"/>
      <c r="N56" s="8" t="n"/>
      <c r="O56" s="8" t="n"/>
      <c r="P56" s="8" t="n"/>
    </row>
    <row r="57" ht="31.15" customHeight="1" s="53">
      <c r="A57" s="54" t="n"/>
      <c r="B57" s="50" t="inlineStr">
        <is>
          <t>설비</t>
        </is>
      </c>
      <c r="C57" s="50" t="inlineStr">
        <is>
          <t>일정생성</t>
        </is>
      </c>
      <c r="D57" s="50" t="inlineStr">
        <is>
          <t>AD230_EC_006</t>
        </is>
      </c>
      <c r="E57" s="18">
        <f>IFERROR(VLOOKUP($D57, '테스트 케이스'!$D$6:$G$1001, 2, FALSE), "")</f>
        <v/>
      </c>
      <c r="F57" s="18">
        <f>IFERROR(VLOOKUP($D57, '테스트 케이스'!$D$6:$G$1001, 3, FALSE), "")</f>
        <v/>
      </c>
      <c r="G57" s="18">
        <f>IFERROR(VLOOKUP($D57, '테스트 케이스'!$D$6:$G$1001, 4, FALSE), "")</f>
        <v/>
      </c>
      <c r="H57" s="7" t="n"/>
      <c r="I57" s="23" t="n"/>
      <c r="J57" s="8" t="n"/>
      <c r="K57" s="36" t="n"/>
      <c r="L57" s="7" t="n"/>
      <c r="M57" s="8" t="n"/>
      <c r="N57" s="8" t="n"/>
      <c r="O57" s="8" t="n"/>
      <c r="P57" s="8" t="n"/>
    </row>
    <row r="58" ht="31.15" customHeight="1" s="53">
      <c r="A58" s="54" t="n"/>
      <c r="B58" s="54" t="n"/>
      <c r="C58" s="50" t="inlineStr">
        <is>
          <t>일정생성</t>
        </is>
      </c>
      <c r="D58" s="50" t="inlineStr">
        <is>
          <t>AD230_EC_007</t>
        </is>
      </c>
      <c r="E58" s="18">
        <f>IFERROR(VLOOKUP($D58, '테스트 케이스'!$D$6:$G$1001, 2, FALSE), "")</f>
        <v/>
      </c>
      <c r="F58" s="18">
        <f>IFERROR(VLOOKUP($D58, '테스트 케이스'!$D$6:$G$1001, 3, FALSE), "")</f>
        <v/>
      </c>
      <c r="G58" s="18">
        <f>IFERROR(VLOOKUP($D58, '테스트 케이스'!$D$6:$G$1001, 4, FALSE), "")</f>
        <v/>
      </c>
      <c r="H58" s="7" t="n"/>
      <c r="I58" s="23" t="n"/>
      <c r="J58" s="8" t="n"/>
      <c r="K58" s="36" t="n"/>
      <c r="L58" s="7" t="n"/>
      <c r="M58" s="8" t="n"/>
      <c r="N58" s="8" t="n"/>
      <c r="O58" s="8" t="n"/>
      <c r="P58" s="8" t="n"/>
    </row>
    <row r="59" ht="31.15" customHeight="1" s="53">
      <c r="A59" s="54" t="n"/>
      <c r="B59" s="54" t="n"/>
      <c r="C59" s="54" t="n"/>
      <c r="D59" s="50" t="inlineStr">
        <is>
          <t>AD230_EC_008</t>
        </is>
      </c>
      <c r="E59" s="18">
        <f>IFERROR(VLOOKUP($D59, '테스트 케이스'!$D$6:$G$1001, 2, FALSE), "")</f>
        <v/>
      </c>
      <c r="F59" s="18">
        <f>IFERROR(VLOOKUP($D59, '테스트 케이스'!$D$6:$G$1001, 3, FALSE), "")</f>
        <v/>
      </c>
      <c r="G59" s="18">
        <f>IFERROR(VLOOKUP($D59, '테스트 케이스'!$D$6:$G$1001, 4, FALSE), "")</f>
        <v/>
      </c>
      <c r="H59" s="7" t="n"/>
      <c r="I59" s="23" t="n"/>
      <c r="J59" s="8" t="n"/>
      <c r="K59" s="36" t="n"/>
      <c r="L59" s="7" t="n"/>
      <c r="M59" s="8" t="n"/>
      <c r="N59" s="8" t="n"/>
      <c r="O59" s="8" t="n"/>
      <c r="P59" s="8" t="n"/>
    </row>
    <row r="60" ht="27" customHeight="1" s="53">
      <c r="A60" s="54" t="n"/>
      <c r="B60" s="54" t="n"/>
      <c r="C60" s="54" t="n"/>
      <c r="D60" s="50" t="inlineStr">
        <is>
          <t>AD230_EC_009</t>
        </is>
      </c>
      <c r="E60" s="18">
        <f>IFERROR(VLOOKUP($D60, '테스트 케이스'!$D$6:$G$1001, 2, FALSE), "")</f>
        <v/>
      </c>
      <c r="F60" s="18">
        <f>IFERROR(VLOOKUP($D60, '테스트 케이스'!$D$6:$G$1001, 3, FALSE), "")</f>
        <v/>
      </c>
      <c r="G60" s="18">
        <f>IFERROR(VLOOKUP($D60, '테스트 케이스'!$D$6:$G$1001, 4, FALSE), "")</f>
        <v/>
      </c>
      <c r="H60" s="7" t="n"/>
      <c r="I60" s="23" t="n"/>
      <c r="J60" s="8" t="n"/>
      <c r="K60" s="36" t="n"/>
      <c r="L60" s="7" t="n"/>
      <c r="M60" s="8" t="n"/>
      <c r="N60" s="8" t="n"/>
      <c r="O60" s="8" t="n"/>
      <c r="P60" s="8" t="n"/>
    </row>
    <row r="61" ht="31.15" customHeight="1" s="53">
      <c r="A61" s="54" t="n"/>
      <c r="B61" s="55" t="n"/>
      <c r="C61" s="55" t="n"/>
      <c r="D61" s="50" t="inlineStr">
        <is>
          <t>AD230_EC_010</t>
        </is>
      </c>
      <c r="E61" s="18">
        <f>IFERROR(VLOOKUP($D61, '테스트 케이스'!$D$6:$G$1001, 2, FALSE), "")</f>
        <v/>
      </c>
      <c r="F61" s="18">
        <f>IFERROR(VLOOKUP($D61, '테스트 케이스'!$D$6:$G$1001, 3, FALSE), "")</f>
        <v/>
      </c>
      <c r="G61" s="18">
        <f>IFERROR(VLOOKUP($D61, '테스트 케이스'!$D$6:$G$1001, 4, FALSE), "")</f>
        <v/>
      </c>
      <c r="H61" s="7" t="n"/>
      <c r="I61" s="23" t="n"/>
      <c r="J61" s="8" t="n"/>
      <c r="K61" s="36" t="n"/>
      <c r="L61" s="7" t="n"/>
      <c r="M61" s="8" t="n"/>
      <c r="N61" s="8" t="n"/>
      <c r="O61" s="8" t="n"/>
      <c r="P61" s="8" t="n"/>
    </row>
    <row r="62" ht="31.15" customHeight="1" s="53">
      <c r="A62" s="54" t="n"/>
      <c r="B62" s="50" t="inlineStr">
        <is>
          <t>공통</t>
        </is>
      </c>
      <c r="C62" s="50" t="inlineStr">
        <is>
          <t>입력검증</t>
        </is>
      </c>
      <c r="D62" s="50" t="inlineStr">
        <is>
          <t>AD230_EC_011</t>
        </is>
      </c>
      <c r="E62" s="18">
        <f>IFERROR(VLOOKUP($D62, '테스트 케이스'!$D$6:$G$1001, 2, FALSE), "")</f>
        <v/>
      </c>
      <c r="F62" s="18">
        <f>IFERROR(VLOOKUP($D62, '테스트 케이스'!$D$6:$G$1001, 3, FALSE), "")</f>
        <v/>
      </c>
      <c r="G62" s="18">
        <f>IFERROR(VLOOKUP($D62, '테스트 케이스'!$D$6:$G$1001, 4, FALSE), "")</f>
        <v/>
      </c>
      <c r="H62" s="7" t="n"/>
      <c r="I62" s="23" t="n"/>
      <c r="J62" s="8" t="n"/>
      <c r="K62" s="36" t="n"/>
      <c r="L62" s="7" t="n"/>
      <c r="M62" s="8" t="n"/>
      <c r="N62" s="8" t="n"/>
      <c r="O62" s="8" t="n"/>
      <c r="P62" s="8" t="n"/>
    </row>
    <row r="63" ht="31.15" customHeight="1" s="53">
      <c r="A63" s="54" t="n"/>
      <c r="B63" s="54" t="n"/>
      <c r="C63" s="50" t="inlineStr">
        <is>
          <t>입력검증</t>
        </is>
      </c>
      <c r="D63" s="50" t="inlineStr">
        <is>
          <t>AD230_EC_012</t>
        </is>
      </c>
      <c r="E63" s="18">
        <f>IFERROR(VLOOKUP($D63, '테스트 케이스'!$D$6:$G$1001, 2, FALSE), "")</f>
        <v/>
      </c>
      <c r="F63" s="18">
        <f>IFERROR(VLOOKUP($D63, '테스트 케이스'!$D$6:$G$1001, 3, FALSE), "")</f>
        <v/>
      </c>
      <c r="G63" s="18">
        <f>IFERROR(VLOOKUP($D63, '테스트 케이스'!$D$6:$G$1001, 4, FALSE), "")</f>
        <v/>
      </c>
      <c r="H63" s="7" t="n"/>
      <c r="I63" s="23" t="n"/>
      <c r="J63" s="8" t="n"/>
      <c r="K63" s="36" t="n"/>
      <c r="L63" s="7" t="n"/>
      <c r="M63" s="8" t="n"/>
      <c r="N63" s="8" t="n"/>
      <c r="O63" s="8" t="n"/>
      <c r="P63" s="8" t="n"/>
    </row>
    <row r="64" ht="31.15" customHeight="1" s="53">
      <c r="A64" s="54" t="n"/>
      <c r="B64" s="55" t="n"/>
      <c r="C64" s="55" t="n"/>
      <c r="D64" s="50" t="inlineStr">
        <is>
          <t>AD230_EC_013</t>
        </is>
      </c>
      <c r="E64" s="18">
        <f>IFERROR(VLOOKUP($D64, '테스트 케이스'!$D$6:$G$1001, 2, FALSE), "")</f>
        <v/>
      </c>
      <c r="F64" s="18">
        <f>IFERROR(VLOOKUP($D64, '테스트 케이스'!$D$6:$G$1001, 3, FALSE), "")</f>
        <v/>
      </c>
      <c r="G64" s="18">
        <f>IFERROR(VLOOKUP($D64, '테스트 케이스'!$D$6:$G$1001, 4, FALSE), "")</f>
        <v/>
      </c>
      <c r="H64" s="7" t="n"/>
      <c r="I64" s="23" t="n"/>
      <c r="J64" s="8" t="n"/>
      <c r="K64" s="36" t="n"/>
      <c r="L64" s="7" t="n"/>
      <c r="M64" s="8" t="n"/>
      <c r="N64" s="8" t="n"/>
      <c r="O64" s="8" t="n"/>
      <c r="P64" s="8" t="n"/>
    </row>
    <row r="65" ht="31.15" customHeight="1" s="53">
      <c r="A65" s="54" t="n"/>
      <c r="B65" s="50" t="inlineStr">
        <is>
          <t>설비</t>
        </is>
      </c>
      <c r="C65" s="50" t="inlineStr">
        <is>
          <t>입력검증</t>
        </is>
      </c>
      <c r="D65" s="50" t="inlineStr">
        <is>
          <t>AD230_EC_014</t>
        </is>
      </c>
      <c r="E65" s="18">
        <f>IFERROR(VLOOKUP($D65, '테스트 케이스'!$D$6:$G$1001, 2, FALSE), "")</f>
        <v/>
      </c>
      <c r="F65" s="18">
        <f>IFERROR(VLOOKUP($D65, '테스트 케이스'!$D$6:$G$1001, 3, FALSE), "")</f>
        <v/>
      </c>
      <c r="G65" s="18">
        <f>IFERROR(VLOOKUP($D65, '테스트 케이스'!$D$6:$G$1001, 4, FALSE), "")</f>
        <v/>
      </c>
      <c r="H65" s="7" t="n"/>
      <c r="I65" s="23" t="n"/>
      <c r="J65" s="8" t="n"/>
      <c r="K65" s="36" t="n"/>
      <c r="L65" s="7" t="n"/>
      <c r="M65" s="8" t="n"/>
      <c r="N65" s="8" t="n"/>
      <c r="O65" s="8" t="n"/>
      <c r="P65" s="8" t="n"/>
    </row>
    <row r="66" ht="31.15" customHeight="1" s="53">
      <c r="A66" s="54" t="n"/>
      <c r="B66" s="50" t="inlineStr">
        <is>
          <t>공통</t>
        </is>
      </c>
      <c r="C66" s="50" t="inlineStr">
        <is>
          <t>일정생성</t>
        </is>
      </c>
      <c r="D66" s="50" t="inlineStr">
        <is>
          <t>AD230_EC_015</t>
        </is>
      </c>
      <c r="E66" s="18">
        <f>IFERROR(VLOOKUP($D66, '테스트 케이스'!$D$6:$G$1001, 2, FALSE), "")</f>
        <v/>
      </c>
      <c r="F66" s="18">
        <f>IFERROR(VLOOKUP($D66, '테스트 케이스'!$D$6:$G$1001, 3, FALSE), "")</f>
        <v/>
      </c>
      <c r="G66" s="18">
        <f>IFERROR(VLOOKUP($D66, '테스트 케이스'!$D$6:$G$1001, 4, FALSE), "")</f>
        <v/>
      </c>
      <c r="H66" s="7" t="n"/>
      <c r="I66" s="23" t="n"/>
      <c r="J66" s="8" t="n"/>
      <c r="K66" s="36" t="n"/>
      <c r="L66" s="7" t="n"/>
      <c r="M66" s="8" t="n"/>
      <c r="N66" s="8" t="n"/>
      <c r="O66" s="8" t="n"/>
      <c r="P66" s="8" t="n"/>
    </row>
    <row r="67" ht="46.9" customHeight="1" s="53">
      <c r="A67" s="55" t="n"/>
      <c r="B67" s="55" t="n"/>
      <c r="C67" s="50" t="inlineStr">
        <is>
          <t>삭제</t>
        </is>
      </c>
      <c r="D67" s="50" t="inlineStr">
        <is>
          <t>AD230_EC_016</t>
        </is>
      </c>
      <c r="E67" s="18">
        <f>IFERROR(VLOOKUP($D67, '테스트 케이스'!$D$6:$G$1001, 2, FALSE), "")</f>
        <v/>
      </c>
      <c r="F67" s="18">
        <f>IFERROR(VLOOKUP($D67, '테스트 케이스'!$D$6:$G$1001, 3, FALSE), "")</f>
        <v/>
      </c>
      <c r="G67" s="18">
        <f>IFERROR(VLOOKUP($D67, '테스트 케이스'!$D$6:$G$1001, 4, FALSE), "")</f>
        <v/>
      </c>
      <c r="H67" s="7" t="n"/>
      <c r="I67" s="23" t="n"/>
      <c r="J67" s="8" t="n"/>
      <c r="K67" s="36" t="n"/>
      <c r="L67" s="7" t="n"/>
      <c r="M67" s="8" t="n"/>
      <c r="N67" s="8" t="n"/>
      <c r="O67" s="8" t="n"/>
      <c r="P67" s="8" t="n"/>
    </row>
    <row r="68" ht="31.15" customHeight="1" s="53"/>
    <row r="69" ht="27" customHeight="1" s="53"/>
    <row r="70" ht="27" customHeight="1" s="53"/>
    <row r="71" ht="13.5" customHeight="1" s="53"/>
    <row r="72" ht="13.5" customHeight="1" s="53"/>
    <row r="73" ht="40.5" customHeight="1" s="53"/>
    <row r="74" ht="13.5" customHeight="1" s="53"/>
    <row r="75" ht="13.5" customHeight="1" s="53"/>
    <row r="76" ht="13.5" customHeight="1" s="53"/>
    <row r="78" ht="13.5" customHeight="1" s="53"/>
    <row r="79" ht="27" customHeight="1" s="53"/>
    <row r="80" ht="156" customHeight="1" s="53"/>
    <row r="81" ht="141" customHeight="1" s="53"/>
    <row r="82" ht="132" customHeight="1" s="53"/>
    <row r="83" ht="142.5" customHeight="1" s="53"/>
  </sheetData>
  <mergeCells count="22">
    <mergeCell ref="A6:A47"/>
    <mergeCell ref="C58:C61"/>
    <mergeCell ref="C63:C64"/>
    <mergeCell ref="C23:C25"/>
    <mergeCell ref="B14:B3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2026-10-19T05:54:30Z</dcterms:modified>
  <cp:lastModifiedBy>임 효진</cp:lastModifiedBy>
</cp:coreProperties>
</file>